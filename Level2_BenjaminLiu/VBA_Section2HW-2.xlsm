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2_BenjaminLiu\"/>
    </mc:Choice>
  </mc:AlternateContent>
  <xr:revisionPtr revIDLastSave="0" documentId="13_ncr:1_{246E2D0D-1C2C-41A0-B136-5F2A6893415C}" xr6:coauthVersionLast="32" xr6:coauthVersionMax="32" xr10:uidLastSave="{00000000-0000-0000-0000-000000000000}"/>
  <bookViews>
    <workbookView xWindow="0" yWindow="0" windowWidth="19200" windowHeight="7060" xr2:uid="{00000000-000D-0000-FFFF-FFFF00000000}"/>
  </bookViews>
  <sheets>
    <sheet name="Homework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Z30" i="1" l="1"/>
  <c r="Y27" i="1"/>
  <c r="X14" i="1"/>
  <c r="K16" i="1" l="1"/>
  <c r="M18" i="1"/>
  <c r="M14" i="1"/>
  <c r="G14" i="1"/>
  <c r="G19" i="1" a="1"/>
  <c r="H19" i="1" l="1"/>
  <c r="N19" i="1" s="1"/>
  <c r="H21" i="1"/>
  <c r="N21" i="1" s="1"/>
  <c r="H23" i="1"/>
  <c r="N23" i="1" s="1"/>
  <c r="H25" i="1"/>
  <c r="N25" i="1" s="1"/>
  <c r="H27" i="1"/>
  <c r="N27" i="1" s="1"/>
  <c r="H29" i="1"/>
  <c r="N29" i="1" s="1"/>
  <c r="H31" i="1"/>
  <c r="N31" i="1" s="1"/>
  <c r="H33" i="1"/>
  <c r="N33" i="1" s="1"/>
  <c r="H35" i="1"/>
  <c r="N35" i="1" s="1"/>
  <c r="H37" i="1"/>
  <c r="N37" i="1" s="1"/>
  <c r="H39" i="1"/>
  <c r="N39" i="1" s="1"/>
  <c r="H41" i="1"/>
  <c r="N41" i="1" s="1"/>
  <c r="H43" i="1"/>
  <c r="N43" i="1" s="1"/>
  <c r="H45" i="1"/>
  <c r="N45" i="1" s="1"/>
  <c r="H47" i="1"/>
  <c r="N47" i="1" s="1"/>
  <c r="H49" i="1"/>
  <c r="N49" i="1" s="1"/>
  <c r="H51" i="1"/>
  <c r="N51" i="1" s="1"/>
  <c r="H53" i="1"/>
  <c r="N53" i="1" s="1"/>
  <c r="H55" i="1"/>
  <c r="N55" i="1" s="1"/>
  <c r="H57" i="1"/>
  <c r="N57" i="1" s="1"/>
  <c r="H59" i="1"/>
  <c r="N59" i="1" s="1"/>
  <c r="H61" i="1"/>
  <c r="N61" i="1" s="1"/>
  <c r="H63" i="1"/>
  <c r="N63" i="1" s="1"/>
  <c r="H65" i="1"/>
  <c r="N65" i="1" s="1"/>
  <c r="H67" i="1"/>
  <c r="N67" i="1" s="1"/>
  <c r="H69" i="1"/>
  <c r="N69" i="1" s="1"/>
  <c r="H71" i="1"/>
  <c r="N71" i="1" s="1"/>
  <c r="H73" i="1"/>
  <c r="N73" i="1" s="1"/>
  <c r="H75" i="1"/>
  <c r="N75" i="1" s="1"/>
  <c r="H77" i="1"/>
  <c r="N77" i="1" s="1"/>
  <c r="H79" i="1"/>
  <c r="N79" i="1" s="1"/>
  <c r="H81" i="1"/>
  <c r="N81" i="1" s="1"/>
  <c r="H83" i="1"/>
  <c r="N83" i="1" s="1"/>
  <c r="H85" i="1"/>
  <c r="N85" i="1" s="1"/>
  <c r="H87" i="1"/>
  <c r="N87" i="1" s="1"/>
  <c r="H89" i="1"/>
  <c r="N89" i="1" s="1"/>
  <c r="H91" i="1"/>
  <c r="N91" i="1" s="1"/>
  <c r="H93" i="1"/>
  <c r="N93" i="1" s="1"/>
  <c r="H95" i="1"/>
  <c r="N95" i="1" s="1"/>
  <c r="H97" i="1"/>
  <c r="N97" i="1" s="1"/>
  <c r="H99" i="1"/>
  <c r="N99" i="1" s="1"/>
  <c r="H101" i="1"/>
  <c r="N101" i="1" s="1"/>
  <c r="H103" i="1"/>
  <c r="N103" i="1" s="1"/>
  <c r="H105" i="1"/>
  <c r="N105" i="1" s="1"/>
  <c r="H107" i="1"/>
  <c r="N107" i="1" s="1"/>
  <c r="H109" i="1"/>
  <c r="N109" i="1" s="1"/>
  <c r="H111" i="1"/>
  <c r="N111" i="1" s="1"/>
  <c r="H113" i="1"/>
  <c r="N113" i="1" s="1"/>
  <c r="H115" i="1"/>
  <c r="N115" i="1" s="1"/>
  <c r="H117" i="1"/>
  <c r="N117" i="1" s="1"/>
  <c r="H119" i="1"/>
  <c r="N119" i="1" s="1"/>
  <c r="H121" i="1"/>
  <c r="N121" i="1" s="1"/>
  <c r="H123" i="1"/>
  <c r="N123" i="1" s="1"/>
  <c r="H125" i="1"/>
  <c r="N125" i="1" s="1"/>
  <c r="H127" i="1"/>
  <c r="N127" i="1" s="1"/>
  <c r="H129" i="1"/>
  <c r="N129" i="1" s="1"/>
  <c r="H131" i="1"/>
  <c r="N131" i="1" s="1"/>
  <c r="H133" i="1"/>
  <c r="N133" i="1" s="1"/>
  <c r="H135" i="1"/>
  <c r="N135" i="1" s="1"/>
  <c r="H137" i="1"/>
  <c r="N137" i="1" s="1"/>
  <c r="H20" i="1"/>
  <c r="N20" i="1" s="1"/>
  <c r="H22" i="1"/>
  <c r="N22" i="1" s="1"/>
  <c r="H24" i="1"/>
  <c r="N24" i="1" s="1"/>
  <c r="H26" i="1"/>
  <c r="N26" i="1" s="1"/>
  <c r="H28" i="1"/>
  <c r="N28" i="1" s="1"/>
  <c r="H30" i="1"/>
  <c r="N30" i="1" s="1"/>
  <c r="H32" i="1"/>
  <c r="N32" i="1" s="1"/>
  <c r="H34" i="1"/>
  <c r="N34" i="1" s="1"/>
  <c r="H36" i="1"/>
  <c r="N36" i="1" s="1"/>
  <c r="H38" i="1"/>
  <c r="N38" i="1" s="1"/>
  <c r="H40" i="1"/>
  <c r="N40" i="1" s="1"/>
  <c r="H42" i="1"/>
  <c r="N42" i="1" s="1"/>
  <c r="H44" i="1"/>
  <c r="N44" i="1" s="1"/>
  <c r="H46" i="1"/>
  <c r="N46" i="1" s="1"/>
  <c r="H48" i="1"/>
  <c r="N48" i="1" s="1"/>
  <c r="H50" i="1"/>
  <c r="N50" i="1" s="1"/>
  <c r="H52" i="1"/>
  <c r="N52" i="1" s="1"/>
  <c r="H54" i="1"/>
  <c r="N54" i="1" s="1"/>
  <c r="H56" i="1"/>
  <c r="N56" i="1" s="1"/>
  <c r="H58" i="1"/>
  <c r="N58" i="1" s="1"/>
  <c r="H60" i="1"/>
  <c r="N60" i="1" s="1"/>
  <c r="H62" i="1"/>
  <c r="N62" i="1" s="1"/>
  <c r="H64" i="1"/>
  <c r="N64" i="1" s="1"/>
  <c r="H66" i="1"/>
  <c r="N66" i="1" s="1"/>
  <c r="H68" i="1"/>
  <c r="N68" i="1" s="1"/>
  <c r="G20" i="1"/>
  <c r="M20" i="1" s="1"/>
  <c r="X32" i="1" s="1"/>
  <c r="G22" i="1"/>
  <c r="M22" i="1" s="1"/>
  <c r="X34" i="1" s="1"/>
  <c r="G24" i="1"/>
  <c r="M24" i="1" s="1"/>
  <c r="X36" i="1" s="1"/>
  <c r="G26" i="1"/>
  <c r="M26" i="1" s="1"/>
  <c r="X38" i="1" s="1"/>
  <c r="G28" i="1"/>
  <c r="M28" i="1" s="1"/>
  <c r="X40" i="1" s="1"/>
  <c r="G30" i="1"/>
  <c r="M30" i="1" s="1"/>
  <c r="X42" i="1" s="1"/>
  <c r="G32" i="1"/>
  <c r="M32" i="1" s="1"/>
  <c r="X44" i="1" s="1"/>
  <c r="G34" i="1"/>
  <c r="M34" i="1" s="1"/>
  <c r="X46" i="1" s="1"/>
  <c r="G36" i="1"/>
  <c r="M36" i="1" s="1"/>
  <c r="X48" i="1" s="1"/>
  <c r="G38" i="1"/>
  <c r="M38" i="1" s="1"/>
  <c r="X50" i="1" s="1"/>
  <c r="G40" i="1"/>
  <c r="M40" i="1" s="1"/>
  <c r="G42" i="1"/>
  <c r="M42" i="1" s="1"/>
  <c r="G44" i="1"/>
  <c r="M44" i="1" s="1"/>
  <c r="G46" i="1"/>
  <c r="M46" i="1" s="1"/>
  <c r="G48" i="1"/>
  <c r="M48" i="1" s="1"/>
  <c r="G50" i="1"/>
  <c r="M50" i="1" s="1"/>
  <c r="G52" i="1"/>
  <c r="M52" i="1" s="1"/>
  <c r="G54" i="1"/>
  <c r="M54" i="1" s="1"/>
  <c r="G56" i="1"/>
  <c r="M56" i="1" s="1"/>
  <c r="G58" i="1"/>
  <c r="M58" i="1" s="1"/>
  <c r="G60" i="1"/>
  <c r="M60" i="1" s="1"/>
  <c r="G62" i="1"/>
  <c r="M62" i="1" s="1"/>
  <c r="G64" i="1"/>
  <c r="M64" i="1" s="1"/>
  <c r="G66" i="1"/>
  <c r="M66" i="1" s="1"/>
  <c r="G68" i="1"/>
  <c r="M68" i="1" s="1"/>
  <c r="G70" i="1"/>
  <c r="M70" i="1" s="1"/>
  <c r="G72" i="1"/>
  <c r="M72" i="1" s="1"/>
  <c r="G74" i="1"/>
  <c r="M74" i="1" s="1"/>
  <c r="G76" i="1"/>
  <c r="M76" i="1" s="1"/>
  <c r="G78" i="1"/>
  <c r="M78" i="1" s="1"/>
  <c r="G80" i="1"/>
  <c r="M80" i="1" s="1"/>
  <c r="G82" i="1"/>
  <c r="M82" i="1" s="1"/>
  <c r="G84" i="1"/>
  <c r="M84" i="1" s="1"/>
  <c r="G86" i="1"/>
  <c r="M86" i="1" s="1"/>
  <c r="G88" i="1"/>
  <c r="M88" i="1" s="1"/>
  <c r="G90" i="1"/>
  <c r="M90" i="1" s="1"/>
  <c r="G92" i="1"/>
  <c r="M92" i="1" s="1"/>
  <c r="G94" i="1"/>
  <c r="M94" i="1" s="1"/>
  <c r="G96" i="1"/>
  <c r="M96" i="1" s="1"/>
  <c r="G98" i="1"/>
  <c r="M98" i="1" s="1"/>
  <c r="G100" i="1"/>
  <c r="M100" i="1" s="1"/>
  <c r="G102" i="1"/>
  <c r="M102" i="1" s="1"/>
  <c r="G104" i="1"/>
  <c r="M104" i="1" s="1"/>
  <c r="G106" i="1"/>
  <c r="M106" i="1" s="1"/>
  <c r="G108" i="1"/>
  <c r="M108" i="1" s="1"/>
  <c r="G110" i="1"/>
  <c r="M110" i="1" s="1"/>
  <c r="G112" i="1"/>
  <c r="M112" i="1" s="1"/>
  <c r="G114" i="1"/>
  <c r="M114" i="1" s="1"/>
  <c r="G116" i="1"/>
  <c r="M116" i="1" s="1"/>
  <c r="G118" i="1"/>
  <c r="M118" i="1" s="1"/>
  <c r="G120" i="1"/>
  <c r="M120" i="1" s="1"/>
  <c r="G122" i="1"/>
  <c r="M122" i="1" s="1"/>
  <c r="G124" i="1"/>
  <c r="M124" i="1" s="1"/>
  <c r="G126" i="1"/>
  <c r="M126" i="1" s="1"/>
  <c r="G128" i="1"/>
  <c r="M128" i="1" s="1"/>
  <c r="G130" i="1"/>
  <c r="M130" i="1" s="1"/>
  <c r="G132" i="1"/>
  <c r="M132" i="1" s="1"/>
  <c r="G134" i="1"/>
  <c r="M134" i="1" s="1"/>
  <c r="G136" i="1"/>
  <c r="M136" i="1" s="1"/>
  <c r="G138" i="1"/>
  <c r="M138" i="1" s="1"/>
  <c r="G19" i="1"/>
  <c r="M19" i="1" s="1"/>
  <c r="X31" i="1" s="1"/>
  <c r="G27" i="1"/>
  <c r="M27" i="1" s="1"/>
  <c r="X39" i="1" s="1"/>
  <c r="G35" i="1"/>
  <c r="M35" i="1" s="1"/>
  <c r="X47" i="1" s="1"/>
  <c r="G43" i="1"/>
  <c r="M43" i="1" s="1"/>
  <c r="G51" i="1"/>
  <c r="M51" i="1" s="1"/>
  <c r="G59" i="1"/>
  <c r="M59" i="1" s="1"/>
  <c r="G67" i="1"/>
  <c r="M67" i="1" s="1"/>
  <c r="H72" i="1"/>
  <c r="N72" i="1" s="1"/>
  <c r="H76" i="1"/>
  <c r="N76" i="1" s="1"/>
  <c r="H80" i="1"/>
  <c r="N80" i="1" s="1"/>
  <c r="H84" i="1"/>
  <c r="N84" i="1" s="1"/>
  <c r="H88" i="1"/>
  <c r="N88" i="1" s="1"/>
  <c r="H92" i="1"/>
  <c r="N92" i="1" s="1"/>
  <c r="H96" i="1"/>
  <c r="N96" i="1" s="1"/>
  <c r="H100" i="1"/>
  <c r="N100" i="1" s="1"/>
  <c r="H104" i="1"/>
  <c r="N104" i="1" s="1"/>
  <c r="H108" i="1"/>
  <c r="N108" i="1" s="1"/>
  <c r="H112" i="1"/>
  <c r="N112" i="1" s="1"/>
  <c r="H116" i="1"/>
  <c r="N116" i="1" s="1"/>
  <c r="H120" i="1"/>
  <c r="N120" i="1" s="1"/>
  <c r="H124" i="1"/>
  <c r="N124" i="1" s="1"/>
  <c r="H128" i="1"/>
  <c r="N128" i="1" s="1"/>
  <c r="H132" i="1"/>
  <c r="N132" i="1" s="1"/>
  <c r="H136" i="1"/>
  <c r="N136" i="1" s="1"/>
  <c r="G137" i="1"/>
  <c r="M137" i="1" s="1"/>
  <c r="G33" i="1"/>
  <c r="M33" i="1" s="1"/>
  <c r="X45" i="1" s="1"/>
  <c r="G49" i="1"/>
  <c r="M49" i="1" s="1"/>
  <c r="G71" i="1"/>
  <c r="M71" i="1" s="1"/>
  <c r="G79" i="1"/>
  <c r="M79" i="1" s="1"/>
  <c r="G91" i="1"/>
  <c r="M91" i="1" s="1"/>
  <c r="G99" i="1"/>
  <c r="M99" i="1" s="1"/>
  <c r="G111" i="1"/>
  <c r="M111" i="1" s="1"/>
  <c r="G123" i="1"/>
  <c r="M123" i="1" s="1"/>
  <c r="G21" i="1"/>
  <c r="M21" i="1" s="1"/>
  <c r="X33" i="1" s="1"/>
  <c r="G29" i="1"/>
  <c r="M29" i="1" s="1"/>
  <c r="X41" i="1" s="1"/>
  <c r="G37" i="1"/>
  <c r="M37" i="1" s="1"/>
  <c r="X49" i="1" s="1"/>
  <c r="G45" i="1"/>
  <c r="M45" i="1" s="1"/>
  <c r="G53" i="1"/>
  <c r="M53" i="1" s="1"/>
  <c r="G61" i="1"/>
  <c r="M61" i="1" s="1"/>
  <c r="G69" i="1"/>
  <c r="M69" i="1" s="1"/>
  <c r="G73" i="1"/>
  <c r="M73" i="1" s="1"/>
  <c r="G77" i="1"/>
  <c r="M77" i="1" s="1"/>
  <c r="G81" i="1"/>
  <c r="M81" i="1" s="1"/>
  <c r="G85" i="1"/>
  <c r="M85" i="1" s="1"/>
  <c r="G89" i="1"/>
  <c r="M89" i="1" s="1"/>
  <c r="G93" i="1"/>
  <c r="M93" i="1" s="1"/>
  <c r="G97" i="1"/>
  <c r="M97" i="1" s="1"/>
  <c r="G101" i="1"/>
  <c r="M101" i="1" s="1"/>
  <c r="G105" i="1"/>
  <c r="M105" i="1" s="1"/>
  <c r="G109" i="1"/>
  <c r="M109" i="1" s="1"/>
  <c r="G113" i="1"/>
  <c r="M113" i="1" s="1"/>
  <c r="G117" i="1"/>
  <c r="M117" i="1" s="1"/>
  <c r="G121" i="1"/>
  <c r="M121" i="1" s="1"/>
  <c r="G125" i="1"/>
  <c r="M125" i="1" s="1"/>
  <c r="G129" i="1"/>
  <c r="M129" i="1" s="1"/>
  <c r="G133" i="1"/>
  <c r="M133" i="1" s="1"/>
  <c r="G57" i="1"/>
  <c r="M57" i="1" s="1"/>
  <c r="G83" i="1"/>
  <c r="M83" i="1" s="1"/>
  <c r="G95" i="1"/>
  <c r="M95" i="1" s="1"/>
  <c r="G107" i="1"/>
  <c r="M107" i="1" s="1"/>
  <c r="G119" i="1"/>
  <c r="M119" i="1" s="1"/>
  <c r="G131" i="1"/>
  <c r="M131" i="1" s="1"/>
  <c r="G23" i="1"/>
  <c r="M23" i="1" s="1"/>
  <c r="X35" i="1" s="1"/>
  <c r="G31" i="1"/>
  <c r="M31" i="1" s="1"/>
  <c r="X43" i="1" s="1"/>
  <c r="G39" i="1"/>
  <c r="M39" i="1" s="1"/>
  <c r="G47" i="1"/>
  <c r="M47" i="1" s="1"/>
  <c r="G55" i="1"/>
  <c r="M55" i="1" s="1"/>
  <c r="G63" i="1"/>
  <c r="M63" i="1" s="1"/>
  <c r="H70" i="1"/>
  <c r="N70" i="1" s="1"/>
  <c r="H74" i="1"/>
  <c r="N74" i="1" s="1"/>
  <c r="H78" i="1"/>
  <c r="N78" i="1" s="1"/>
  <c r="H82" i="1"/>
  <c r="N82" i="1" s="1"/>
  <c r="H86" i="1"/>
  <c r="N86" i="1" s="1"/>
  <c r="H90" i="1"/>
  <c r="N90" i="1" s="1"/>
  <c r="H94" i="1"/>
  <c r="N94" i="1" s="1"/>
  <c r="H98" i="1"/>
  <c r="N98" i="1" s="1"/>
  <c r="H102" i="1"/>
  <c r="N102" i="1" s="1"/>
  <c r="H106" i="1"/>
  <c r="N106" i="1" s="1"/>
  <c r="H110" i="1"/>
  <c r="N110" i="1" s="1"/>
  <c r="H114" i="1"/>
  <c r="N114" i="1" s="1"/>
  <c r="H118" i="1"/>
  <c r="N118" i="1" s="1"/>
  <c r="H122" i="1"/>
  <c r="N122" i="1" s="1"/>
  <c r="H126" i="1"/>
  <c r="N126" i="1" s="1"/>
  <c r="H130" i="1"/>
  <c r="N130" i="1" s="1"/>
  <c r="H134" i="1"/>
  <c r="N134" i="1" s="1"/>
  <c r="H138" i="1"/>
  <c r="N138" i="1" s="1"/>
  <c r="G25" i="1"/>
  <c r="M25" i="1" s="1"/>
  <c r="X37" i="1" s="1"/>
  <c r="G41" i="1"/>
  <c r="M41" i="1" s="1"/>
  <c r="G65" i="1"/>
  <c r="M65" i="1" s="1"/>
  <c r="G75" i="1"/>
  <c r="M75" i="1" s="1"/>
  <c r="G87" i="1"/>
  <c r="M87" i="1" s="1"/>
  <c r="G103" i="1"/>
  <c r="M103" i="1" s="1"/>
  <c r="G115" i="1"/>
  <c r="M115" i="1" s="1"/>
  <c r="G127" i="1"/>
  <c r="M127" i="1" s="1"/>
  <c r="G135" i="1"/>
  <c r="M135" i="1" s="1"/>
  <c r="E29" i="1"/>
  <c r="E28" i="1"/>
  <c r="E27" i="1"/>
  <c r="E26" i="1"/>
  <c r="E25" i="1"/>
  <c r="E24" i="1"/>
  <c r="E23" i="1"/>
  <c r="E22" i="1"/>
  <c r="E21" i="1"/>
  <c r="E20" i="1"/>
  <c r="E19" i="1"/>
  <c r="H18" i="1"/>
  <c r="N18" i="1" s="1"/>
  <c r="G18" i="1"/>
  <c r="D29" i="1"/>
  <c r="D28" i="1"/>
  <c r="D27" i="1"/>
  <c r="D26" i="1"/>
  <c r="D25" i="1"/>
  <c r="D24" i="1"/>
  <c r="D23" i="1"/>
  <c r="D22" i="1"/>
  <c r="D21" i="1"/>
  <c r="D20" i="1"/>
  <c r="D19" i="1"/>
  <c r="O19" i="1"/>
  <c r="O27" i="1"/>
  <c r="O35" i="1"/>
  <c r="O43" i="1"/>
  <c r="O51" i="1"/>
  <c r="O59" i="1"/>
  <c r="O67" i="1"/>
  <c r="O75" i="1"/>
  <c r="O83" i="1"/>
  <c r="O91" i="1"/>
  <c r="O99" i="1"/>
  <c r="O107" i="1"/>
  <c r="O115" i="1"/>
  <c r="O123" i="1"/>
  <c r="O131" i="1"/>
  <c r="O20" i="1"/>
  <c r="O28" i="1"/>
  <c r="O36" i="1"/>
  <c r="O44" i="1"/>
  <c r="O52" i="1"/>
  <c r="O60" i="1"/>
  <c r="O68" i="1"/>
  <c r="O72" i="1"/>
  <c r="O88" i="1"/>
  <c r="O104" i="1"/>
  <c r="O120" i="1"/>
  <c r="O136" i="1"/>
  <c r="O82" i="1"/>
  <c r="O98" i="1"/>
  <c r="O114" i="1"/>
  <c r="O130" i="1"/>
  <c r="O21" i="1"/>
  <c r="O29" i="1"/>
  <c r="O37" i="1"/>
  <c r="O45" i="1"/>
  <c r="O53" i="1"/>
  <c r="O61" i="1"/>
  <c r="O69" i="1"/>
  <c r="O77" i="1"/>
  <c r="O85" i="1"/>
  <c r="O93" i="1"/>
  <c r="O101" i="1"/>
  <c r="O109" i="1"/>
  <c r="O117" i="1"/>
  <c r="O125" i="1"/>
  <c r="O133" i="1"/>
  <c r="O22" i="1"/>
  <c r="O30" i="1"/>
  <c r="O38" i="1"/>
  <c r="O46" i="1"/>
  <c r="O54" i="1"/>
  <c r="O62" i="1"/>
  <c r="O76" i="1"/>
  <c r="O92" i="1"/>
  <c r="O108" i="1"/>
  <c r="O124" i="1"/>
  <c r="O70" i="1"/>
  <c r="O86" i="1"/>
  <c r="O102" i="1"/>
  <c r="O118" i="1"/>
  <c r="O134" i="1"/>
  <c r="O23" i="1"/>
  <c r="O31" i="1"/>
  <c r="O39" i="1"/>
  <c r="O47" i="1"/>
  <c r="O55" i="1"/>
  <c r="O63" i="1"/>
  <c r="O71" i="1"/>
  <c r="O79" i="1"/>
  <c r="O87" i="1"/>
  <c r="O95" i="1"/>
  <c r="O103" i="1"/>
  <c r="O111" i="1"/>
  <c r="O119" i="1"/>
  <c r="O127" i="1"/>
  <c r="O135" i="1"/>
  <c r="O24" i="1"/>
  <c r="O32" i="1"/>
  <c r="O40" i="1"/>
  <c r="O48" i="1"/>
  <c r="O56" i="1"/>
  <c r="O64" i="1"/>
  <c r="O80" i="1"/>
  <c r="O96" i="1"/>
  <c r="O112" i="1"/>
  <c r="O128" i="1"/>
  <c r="O74" i="1"/>
  <c r="O90" i="1"/>
  <c r="O106" i="1"/>
  <c r="O122" i="1"/>
  <c r="O138" i="1"/>
  <c r="O33" i="1"/>
  <c r="O41" i="1"/>
  <c r="O49" i="1"/>
  <c r="O57" i="1"/>
  <c r="O65" i="1"/>
  <c r="O73" i="1"/>
  <c r="O81" i="1"/>
  <c r="O89" i="1"/>
  <c r="O97" i="1"/>
  <c r="O105" i="1"/>
  <c r="O113" i="1"/>
  <c r="O121" i="1"/>
  <c r="O137" i="1"/>
  <c r="O26" i="1"/>
  <c r="O34" i="1"/>
  <c r="O50" i="1"/>
  <c r="O58" i="1"/>
  <c r="O66" i="1"/>
  <c r="O100" i="1"/>
  <c r="O116" i="1"/>
  <c r="O78" i="1"/>
  <c r="O110" i="1"/>
  <c r="O25" i="1"/>
  <c r="O129" i="1"/>
  <c r="O42" i="1"/>
  <c r="O84" i="1"/>
  <c r="O132" i="1"/>
  <c r="O94" i="1"/>
  <c r="O126" i="1"/>
  <c r="Y37" i="1" l="1"/>
  <c r="Z37" i="1" s="1"/>
  <c r="Y46" i="1"/>
  <c r="Z46" i="1" s="1"/>
  <c r="Y38" i="1"/>
  <c r="Z38" i="1" s="1"/>
  <c r="Y45" i="1"/>
  <c r="Z45" i="1" s="1"/>
  <c r="Y44" i="1"/>
  <c r="Z44" i="1" s="1"/>
  <c r="Y36" i="1"/>
  <c r="Z36" i="1" s="1"/>
  <c r="Y43" i="1"/>
  <c r="Z43" i="1" s="1"/>
  <c r="Y35" i="1"/>
  <c r="Z35" i="1" s="1"/>
  <c r="Y50" i="1"/>
  <c r="Z50" i="1" s="1"/>
  <c r="Y42" i="1"/>
  <c r="Z42" i="1" s="1"/>
  <c r="Y34" i="1"/>
  <c r="Z34" i="1" s="1"/>
  <c r="Y49" i="1"/>
  <c r="Z49" i="1" s="1"/>
  <c r="Y41" i="1"/>
  <c r="Z41" i="1" s="1"/>
  <c r="Y33" i="1"/>
  <c r="Z33" i="1" s="1"/>
  <c r="Y48" i="1"/>
  <c r="Z48" i="1" s="1"/>
  <c r="Y40" i="1"/>
  <c r="Z40" i="1" s="1"/>
  <c r="Y32" i="1"/>
  <c r="Z32" i="1" s="1"/>
  <c r="Y47" i="1"/>
  <c r="Z47" i="1" s="1"/>
  <c r="Y39" i="1"/>
  <c r="Z39" i="1" s="1"/>
  <c r="Y31" i="1"/>
  <c r="Z31" i="1" s="1"/>
  <c r="AC29" i="1" s="1"/>
  <c r="AC27" i="1" s="1"/>
</calcChain>
</file>

<file path=xl/sharedStrings.xml><?xml version="1.0" encoding="utf-8"?>
<sst xmlns="http://schemas.openxmlformats.org/spreadsheetml/2006/main" count="62" uniqueCount="60">
  <si>
    <t>Question 1:</t>
  </si>
  <si>
    <t>Go to: https://www.treasury.gov/resource-center/data-chart-center/interest-rates/Pages/TextView.aspx?data=yield and pull the most recent yield curve. That should be an input for your code and should be displayed on this worksheet.</t>
  </si>
  <si>
    <t>Question 2:</t>
  </si>
  <si>
    <t>Build a Linear Interpolation model that accepts a matrix of data and a frequency to split years by and fill in the missing data.</t>
  </si>
  <si>
    <t xml:space="preserve">Question 3: </t>
  </si>
  <si>
    <t xml:space="preserve">Question 4: </t>
  </si>
  <si>
    <t>Build a Floating Rate Note pricer in VBA. All inputs should be on this spreadsheet and the output should be appear here as well.</t>
  </si>
  <si>
    <t>Build a Forward Rate calculator in VBA. Should be flexible to work on various frequencies.</t>
  </si>
  <si>
    <t>Date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</si>
  <si>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</si>
  <si>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</si>
  <si>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</si>
  <si>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</si>
  <si>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</si>
  <si>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</si>
  <si>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</si>
  <si>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</si>
  <si>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</si>
  <si>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</si>
  <si>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</si>
  <si>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Yield</t>
  </si>
  <si>
    <t>5/14/2018 Yield</t>
  </si>
  <si>
    <t>Years</t>
  </si>
  <si>
    <t>Frequency</t>
  </si>
  <si>
    <t>count=10</t>
  </si>
  <si>
    <t>Count=20</t>
  </si>
  <si>
    <t>Count=30</t>
  </si>
  <si>
    <t>Freq=1</t>
  </si>
  <si>
    <t>Freq=1/3</t>
  </si>
  <si>
    <t>Freq=2/3</t>
  </si>
  <si>
    <t>Count=60</t>
  </si>
  <si>
    <t>Freq=2</t>
  </si>
  <si>
    <t>Freq=3</t>
  </si>
  <si>
    <t>Count=90</t>
  </si>
  <si>
    <t>Count=120</t>
  </si>
  <si>
    <t>Freq=4</t>
  </si>
  <si>
    <t>Q1:</t>
  </si>
  <si>
    <t>Q2:</t>
  </si>
  <si>
    <t>Interpolate($D$19:$E$29,$K$16)</t>
  </si>
  <si>
    <t>Q3</t>
  </si>
  <si>
    <t>ForwardRate</t>
  </si>
  <si>
    <t>ForwardRate($K$16,M19,M20,N19,N20)</t>
  </si>
  <si>
    <t>Q4</t>
  </si>
  <si>
    <t>Inputs</t>
  </si>
  <si>
    <t>Maturity</t>
  </si>
  <si>
    <t>Notional</t>
  </si>
  <si>
    <t>Rate</t>
  </si>
  <si>
    <t>Payments</t>
  </si>
  <si>
    <t>Compounding</t>
  </si>
  <si>
    <t>Continuous</t>
  </si>
  <si>
    <t>Price</t>
  </si>
  <si>
    <t>Answer Check</t>
  </si>
  <si>
    <t>Quarterly</t>
  </si>
  <si>
    <t>Coupon</t>
  </si>
  <si>
    <t>PV of CF</t>
  </si>
  <si>
    <t>Type</t>
  </si>
  <si>
    <t>N/A</t>
  </si>
  <si>
    <t>CouponSpread</t>
  </si>
  <si>
    <t>FRN</t>
  </si>
  <si>
    <t>FloatingRateNotePrice(N19:N38,O19:O38,$K$16,$Y$21,$Y$20)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</si>
</sst>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/>
    <xf numFmtId="0" fontId="0" fillId="2" borderId="10" xfId="0" applyFill="1" applyBorder="1"/>
    <xf numFmtId="2" fontId="0" fillId="0" borderId="10" xfId="0" applyNumberFormat="1" applyBorder="1"/>
    <xf numFmtId="10" fontId="0" fillId="0" borderId="10" xfId="1" applyNumberFormat="1" applyFont="1" applyBorder="1"/>
    <xf numFmtId="2" fontId="2" fillId="0" borderId="10" xfId="0" applyNumberFormat="1" applyFont="1" applyBorder="1"/>
    <xf numFmtId="0" fontId="0" fillId="0" borderId="0" xfId="0" applyFont="1"/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" xfId="0" applyBorder="1"/>
    <xf numFmtId="10" fontId="0" fillId="0" borderId="1" xfId="0" applyNumberFormat="1" applyBorder="1"/>
    <xf numFmtId="0" fontId="0" fillId="0" borderId="13" xfId="0" applyBorder="1"/>
    <xf numFmtId="8" fontId="2" fillId="0" borderId="14" xfId="0" applyNumberFormat="1" applyFont="1" applyBorder="1"/>
    <xf numFmtId="8" fontId="0" fillId="0" borderId="1" xfId="0" applyNumberFormat="1" applyBorder="1"/>
    <xf numFmtId="2" fontId="0" fillId="0" borderId="1" xfId="0" applyNumberFormat="1" applyBorder="1"/>
  </cellXfs>
  <cellStyles count="2">
    <cellStyle name="常规" xfId="0" builtinId="0"/>
    <cellStyle name="百分比" xfId="1" builtinId="5"/>
  </cellStyles>
  <dxfs count="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Homework!$N$18</c:f>
              <c:strCache>
                <c:ptCount val="1"/>
                <c:pt idx="0">
                  <c:v>Yield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Homework!$M$19:$M$138</c:f>
              <c:numCache>
                <c:formatCode>0.00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cat>
          <c:val>
            <c:numRef>
              <c:f>Homework!$N$19:$N$138</c:f>
              <c:numCache>
                <c:formatCode>0.00%</c:formatCode>
                <c:ptCount val="120"/>
                <c:pt idx="0">
                  <c:v>1.9299999999999998E-2</c:v>
                </c:pt>
                <c:pt idx="1">
                  <c:v>2.0899999999999998E-2</c:v>
                </c:pt>
                <c:pt idx="2">
                  <c:v>2.1849999999999998E-2</c:v>
                </c:pt>
                <c:pt idx="3">
                  <c:v>2.2799999999999997E-2</c:v>
                </c:pt>
                <c:pt idx="4">
                  <c:v>2.3474999999999996E-2</c:v>
                </c:pt>
                <c:pt idx="5">
                  <c:v>2.4149999999999998E-2</c:v>
                </c:pt>
                <c:pt idx="6">
                  <c:v>2.4825E-2</c:v>
                </c:pt>
                <c:pt idx="7">
                  <c:v>2.5499999999999998E-2</c:v>
                </c:pt>
                <c:pt idx="8">
                  <c:v>2.5874999999999999E-2</c:v>
                </c:pt>
                <c:pt idx="9">
                  <c:v>2.6249999999999999E-2</c:v>
                </c:pt>
                <c:pt idx="10">
                  <c:v>2.6625000000000003E-2</c:v>
                </c:pt>
                <c:pt idx="11">
                  <c:v>2.7000000000000003E-2</c:v>
                </c:pt>
                <c:pt idx="12">
                  <c:v>2.7187500000000003E-2</c:v>
                </c:pt>
                <c:pt idx="13">
                  <c:v>2.7375000000000003E-2</c:v>
                </c:pt>
                <c:pt idx="14">
                  <c:v>2.7562500000000004E-2</c:v>
                </c:pt>
                <c:pt idx="15">
                  <c:v>2.7750000000000004E-2</c:v>
                </c:pt>
                <c:pt idx="16">
                  <c:v>2.7937500000000004E-2</c:v>
                </c:pt>
                <c:pt idx="17">
                  <c:v>2.8125000000000004E-2</c:v>
                </c:pt>
                <c:pt idx="18">
                  <c:v>2.8312500000000004E-2</c:v>
                </c:pt>
                <c:pt idx="19">
                  <c:v>2.8500000000000001E-2</c:v>
                </c:pt>
                <c:pt idx="20">
                  <c:v>2.86375E-2</c:v>
                </c:pt>
                <c:pt idx="21">
                  <c:v>2.8774999999999998E-2</c:v>
                </c:pt>
                <c:pt idx="22">
                  <c:v>2.8912500000000001E-2</c:v>
                </c:pt>
                <c:pt idx="23">
                  <c:v>2.9049999999999999E-2</c:v>
                </c:pt>
                <c:pt idx="24">
                  <c:v>2.9187499999999998E-2</c:v>
                </c:pt>
                <c:pt idx="25">
                  <c:v>2.9325E-2</c:v>
                </c:pt>
                <c:pt idx="26">
                  <c:v>2.9462500000000003E-2</c:v>
                </c:pt>
                <c:pt idx="27">
                  <c:v>2.9600000000000001E-2</c:v>
                </c:pt>
                <c:pt idx="28">
                  <c:v>2.9633333333333334E-2</c:v>
                </c:pt>
                <c:pt idx="29">
                  <c:v>2.9666666666666668E-2</c:v>
                </c:pt>
                <c:pt idx="30">
                  <c:v>2.9700000000000001E-2</c:v>
                </c:pt>
                <c:pt idx="31">
                  <c:v>2.9733333333333334E-2</c:v>
                </c:pt>
                <c:pt idx="32">
                  <c:v>2.9766666666666667E-2</c:v>
                </c:pt>
                <c:pt idx="33">
                  <c:v>2.98E-2</c:v>
                </c:pt>
                <c:pt idx="34">
                  <c:v>2.9833333333333333E-2</c:v>
                </c:pt>
                <c:pt idx="35">
                  <c:v>2.9866666666666666E-2</c:v>
                </c:pt>
                <c:pt idx="36">
                  <c:v>2.9899999999999999E-2</c:v>
                </c:pt>
                <c:pt idx="37">
                  <c:v>2.9933333333333333E-2</c:v>
                </c:pt>
                <c:pt idx="38">
                  <c:v>2.9966666666666666E-2</c:v>
                </c:pt>
                <c:pt idx="39">
                  <c:v>0.03</c:v>
                </c:pt>
                <c:pt idx="40">
                  <c:v>3.0015E-2</c:v>
                </c:pt>
                <c:pt idx="41">
                  <c:v>3.0030000000000001E-2</c:v>
                </c:pt>
                <c:pt idx="42">
                  <c:v>3.0045000000000002E-2</c:v>
                </c:pt>
                <c:pt idx="43">
                  <c:v>3.0060000000000003E-2</c:v>
                </c:pt>
                <c:pt idx="44">
                  <c:v>3.0075000000000005E-2</c:v>
                </c:pt>
                <c:pt idx="45">
                  <c:v>3.0090000000000006E-2</c:v>
                </c:pt>
                <c:pt idx="46">
                  <c:v>3.0105000000000007E-2</c:v>
                </c:pt>
                <c:pt idx="47">
                  <c:v>3.0120000000000008E-2</c:v>
                </c:pt>
                <c:pt idx="48">
                  <c:v>3.0135000000000009E-2</c:v>
                </c:pt>
                <c:pt idx="49">
                  <c:v>3.015000000000001E-2</c:v>
                </c:pt>
                <c:pt idx="50">
                  <c:v>3.0165000000000011E-2</c:v>
                </c:pt>
                <c:pt idx="51">
                  <c:v>3.0180000000000012E-2</c:v>
                </c:pt>
                <c:pt idx="52">
                  <c:v>3.0195000000000013E-2</c:v>
                </c:pt>
                <c:pt idx="53">
                  <c:v>3.0210000000000015E-2</c:v>
                </c:pt>
                <c:pt idx="54">
                  <c:v>3.0225000000000016E-2</c:v>
                </c:pt>
                <c:pt idx="55">
                  <c:v>3.0240000000000017E-2</c:v>
                </c:pt>
                <c:pt idx="56">
                  <c:v>3.0255000000000018E-2</c:v>
                </c:pt>
                <c:pt idx="57">
                  <c:v>3.0270000000000016E-2</c:v>
                </c:pt>
                <c:pt idx="58">
                  <c:v>3.0285000000000013E-2</c:v>
                </c:pt>
                <c:pt idx="59">
                  <c:v>3.0300000000000014E-2</c:v>
                </c:pt>
                <c:pt idx="60">
                  <c:v>3.0315000000000016E-2</c:v>
                </c:pt>
                <c:pt idx="61">
                  <c:v>3.0330000000000013E-2</c:v>
                </c:pt>
                <c:pt idx="62">
                  <c:v>3.0345000000000011E-2</c:v>
                </c:pt>
                <c:pt idx="63">
                  <c:v>3.0360000000000012E-2</c:v>
                </c:pt>
                <c:pt idx="64">
                  <c:v>3.0375000000000013E-2</c:v>
                </c:pt>
                <c:pt idx="65">
                  <c:v>3.0390000000000011E-2</c:v>
                </c:pt>
                <c:pt idx="66">
                  <c:v>3.0405000000000008E-2</c:v>
                </c:pt>
                <c:pt idx="67">
                  <c:v>3.042000000000001E-2</c:v>
                </c:pt>
                <c:pt idx="68">
                  <c:v>3.0435000000000011E-2</c:v>
                </c:pt>
                <c:pt idx="69">
                  <c:v>3.0450000000000008E-2</c:v>
                </c:pt>
                <c:pt idx="70">
                  <c:v>3.0465000000000006E-2</c:v>
                </c:pt>
                <c:pt idx="71">
                  <c:v>3.0480000000000007E-2</c:v>
                </c:pt>
                <c:pt idx="72">
                  <c:v>3.0495000000000008E-2</c:v>
                </c:pt>
                <c:pt idx="73">
                  <c:v>3.0510000000000006E-2</c:v>
                </c:pt>
                <c:pt idx="74">
                  <c:v>3.0525000000000004E-2</c:v>
                </c:pt>
                <c:pt idx="75">
                  <c:v>3.0540000000000005E-2</c:v>
                </c:pt>
                <c:pt idx="76">
                  <c:v>3.0555000000000006E-2</c:v>
                </c:pt>
                <c:pt idx="77">
                  <c:v>3.0570000000000003E-2</c:v>
                </c:pt>
                <c:pt idx="78">
                  <c:v>3.0585000000000001E-2</c:v>
                </c:pt>
                <c:pt idx="79">
                  <c:v>3.0600000000000002E-2</c:v>
                </c:pt>
                <c:pt idx="80">
                  <c:v>3.0617500000000002E-2</c:v>
                </c:pt>
                <c:pt idx="81">
                  <c:v>3.0635000000000003E-2</c:v>
                </c:pt>
                <c:pt idx="82">
                  <c:v>3.0652500000000003E-2</c:v>
                </c:pt>
                <c:pt idx="83">
                  <c:v>3.0670000000000003E-2</c:v>
                </c:pt>
                <c:pt idx="84">
                  <c:v>3.0687500000000003E-2</c:v>
                </c:pt>
                <c:pt idx="85">
                  <c:v>3.0705000000000003E-2</c:v>
                </c:pt>
                <c:pt idx="86">
                  <c:v>3.0722500000000003E-2</c:v>
                </c:pt>
                <c:pt idx="87">
                  <c:v>3.0740000000000003E-2</c:v>
                </c:pt>
                <c:pt idx="88">
                  <c:v>3.0757500000000004E-2</c:v>
                </c:pt>
                <c:pt idx="89">
                  <c:v>3.0775000000000004E-2</c:v>
                </c:pt>
                <c:pt idx="90">
                  <c:v>3.0792500000000004E-2</c:v>
                </c:pt>
                <c:pt idx="91">
                  <c:v>3.0810000000000004E-2</c:v>
                </c:pt>
                <c:pt idx="92">
                  <c:v>3.0827500000000004E-2</c:v>
                </c:pt>
                <c:pt idx="93">
                  <c:v>3.0845000000000004E-2</c:v>
                </c:pt>
                <c:pt idx="94">
                  <c:v>3.0862500000000005E-2</c:v>
                </c:pt>
                <c:pt idx="95">
                  <c:v>3.0880000000000005E-2</c:v>
                </c:pt>
                <c:pt idx="96">
                  <c:v>3.0897500000000005E-2</c:v>
                </c:pt>
                <c:pt idx="97">
                  <c:v>3.0915000000000005E-2</c:v>
                </c:pt>
                <c:pt idx="98">
                  <c:v>3.0932500000000005E-2</c:v>
                </c:pt>
                <c:pt idx="99">
                  <c:v>3.0950000000000005E-2</c:v>
                </c:pt>
                <c:pt idx="100">
                  <c:v>3.0967500000000005E-2</c:v>
                </c:pt>
                <c:pt idx="101">
                  <c:v>3.0985000000000006E-2</c:v>
                </c:pt>
                <c:pt idx="102">
                  <c:v>3.1002500000000006E-2</c:v>
                </c:pt>
                <c:pt idx="103">
                  <c:v>3.1020000000000006E-2</c:v>
                </c:pt>
                <c:pt idx="104">
                  <c:v>3.1037500000000006E-2</c:v>
                </c:pt>
                <c:pt idx="105">
                  <c:v>3.1055000000000006E-2</c:v>
                </c:pt>
                <c:pt idx="106">
                  <c:v>3.1072500000000006E-2</c:v>
                </c:pt>
                <c:pt idx="107">
                  <c:v>3.1090000000000007E-2</c:v>
                </c:pt>
                <c:pt idx="108">
                  <c:v>3.1107500000000007E-2</c:v>
                </c:pt>
                <c:pt idx="109">
                  <c:v>3.1125000000000007E-2</c:v>
                </c:pt>
                <c:pt idx="110">
                  <c:v>3.1142500000000007E-2</c:v>
                </c:pt>
                <c:pt idx="111">
                  <c:v>3.1160000000000007E-2</c:v>
                </c:pt>
                <c:pt idx="112">
                  <c:v>3.1177500000000007E-2</c:v>
                </c:pt>
                <c:pt idx="113">
                  <c:v>3.1195000000000007E-2</c:v>
                </c:pt>
                <c:pt idx="114">
                  <c:v>3.1212500000000008E-2</c:v>
                </c:pt>
                <c:pt idx="115">
                  <c:v>3.1230000000000008E-2</c:v>
                </c:pt>
                <c:pt idx="116">
                  <c:v>3.1247500000000004E-2</c:v>
                </c:pt>
                <c:pt idx="117">
                  <c:v>3.1265000000000001E-2</c:v>
                </c:pt>
                <c:pt idx="118">
                  <c:v>3.1282500000000005E-2</c:v>
                </c:pt>
                <c:pt idx="119">
                  <c:v>3.1300000000000001E-2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2-44D8-9E6C-F97BF5B28832}"/>
            </c:ext>
          </c:extLst>
        </c:ser>
        <c:ser>
          <c:idx val="1"/>
          <c:order val="1"/>
          <c:tx>
            <c:strRef>
              <c:f>Homework!$O$18</c:f>
              <c:strCache>
                <c:ptCount val="1"/>
                <c:pt idx="0">
                  <c:v>ForwardRate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Homework!$M$19:$M$138</c:f>
              <c:numCache>
                <c:formatCode>0.00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cat>
          <c:val>
            <c:numRef>
              <c:f>Homework!$O$19:$O$138</c:f>
              <c:numCache>
                <c:formatCode>0.00%</c:formatCode>
                <c:ptCount val="120"/>
                <c:pt idx="0">
                  <c:v>1.9300000000000317E-2</c:v>
                </c:pt>
                <c:pt idx="1">
                  <c:v>2.2500636926828035E-2</c:v>
                </c:pt>
                <c:pt idx="2">
                  <c:v>2.3750673409740731E-2</c:v>
                </c:pt>
                <c:pt idx="3">
                  <c:v>2.5651346607350297E-2</c:v>
                </c:pt>
                <c:pt idx="4">
                  <c:v>2.6176132796703014E-2</c:v>
                </c:pt>
                <c:pt idx="5">
                  <c:v>2.752669900495008E-2</c:v>
                </c:pt>
                <c:pt idx="6">
                  <c:v>2.8877378340851304E-2</c:v>
                </c:pt>
                <c:pt idx="7">
                  <c:v>3.0228170766432132E-2</c:v>
                </c:pt>
                <c:pt idx="8">
                  <c:v>2.8876257881147459E-2</c:v>
                </c:pt>
                <c:pt idx="9">
                  <c:v>2.9626572253763715E-2</c:v>
                </c:pt>
                <c:pt idx="10">
                  <c:v>3.0376921524126594E-2</c:v>
                </c:pt>
                <c:pt idx="11">
                  <c:v>3.1127305685733922E-2</c:v>
                </c:pt>
                <c:pt idx="12">
                  <c:v>2.9438181066726254E-2</c:v>
                </c:pt>
                <c:pt idx="13">
                  <c:v>2.9813294553179787E-2</c:v>
                </c:pt>
                <c:pt idx="14">
                  <c:v>3.0188416763667493E-2</c:v>
                </c:pt>
                <c:pt idx="15">
                  <c:v>3.0563547697378724E-2</c:v>
                </c:pt>
                <c:pt idx="16">
                  <c:v>3.0938687353502217E-2</c:v>
                </c:pt>
                <c:pt idx="17">
                  <c:v>3.1313835731223226E-2</c:v>
                </c:pt>
                <c:pt idx="18">
                  <c:v>3.1688992829731158E-2</c:v>
                </c:pt>
                <c:pt idx="19">
                  <c:v>3.2064158648212111E-2</c:v>
                </c:pt>
                <c:pt idx="20">
                  <c:v>3.1388485769119928E-2</c:v>
                </c:pt>
                <c:pt idx="21">
                  <c:v>3.1663584321350982E-2</c:v>
                </c:pt>
                <c:pt idx="22">
                  <c:v>3.1938687563001708E-2</c:v>
                </c:pt>
                <c:pt idx="23">
                  <c:v>3.2213795493810794E-2</c:v>
                </c:pt>
                <c:pt idx="24">
                  <c:v>3.2488908113398933E-2</c:v>
                </c:pt>
                <c:pt idx="25">
                  <c:v>3.2764025421463991E-2</c:v>
                </c:pt>
                <c:pt idx="26">
                  <c:v>3.303914741768952E-2</c:v>
                </c:pt>
                <c:pt idx="27">
                  <c:v>3.3314274101751418E-2</c:v>
                </c:pt>
                <c:pt idx="28">
                  <c:v>3.0566778624334559E-2</c:v>
                </c:pt>
                <c:pt idx="29">
                  <c:v>3.0633453287343494E-2</c:v>
                </c:pt>
                <c:pt idx="30">
                  <c:v>3.0700128225992707E-2</c:v>
                </c:pt>
                <c:pt idx="31">
                  <c:v>3.0766803440305163E-2</c:v>
                </c:pt>
                <c:pt idx="32">
                  <c:v>3.0833478930244948E-2</c:v>
                </c:pt>
                <c:pt idx="33">
                  <c:v>3.0900154695895469E-2</c:v>
                </c:pt>
                <c:pt idx="34">
                  <c:v>3.0966830737165982E-2</c:v>
                </c:pt>
                <c:pt idx="35">
                  <c:v>3.1033507054080551E-2</c:v>
                </c:pt>
                <c:pt idx="36">
                  <c:v>3.1100183646601477E-2</c:v>
                </c:pt>
                <c:pt idx="37">
                  <c:v>3.1166860514821992E-2</c:v>
                </c:pt>
                <c:pt idx="38">
                  <c:v>3.1233537658639704E-2</c:v>
                </c:pt>
                <c:pt idx="39">
                  <c:v>3.130021507808467E-2</c:v>
                </c:pt>
                <c:pt idx="40">
                  <c:v>3.0615045783829915E-2</c:v>
                </c:pt>
                <c:pt idx="41">
                  <c:v>3.0645048072939232E-2</c:v>
                </c:pt>
                <c:pt idx="42">
                  <c:v>3.0675050417835734E-2</c:v>
                </c:pt>
                <c:pt idx="43">
                  <c:v>3.0705052818515433E-2</c:v>
                </c:pt>
                <c:pt idx="44">
                  <c:v>3.0735055275092921E-2</c:v>
                </c:pt>
                <c:pt idx="45">
                  <c:v>3.0765057787453896E-2</c:v>
                </c:pt>
                <c:pt idx="46">
                  <c:v>3.0795060355593457E-2</c:v>
                </c:pt>
                <c:pt idx="47">
                  <c:v>3.0825062979635765E-2</c:v>
                </c:pt>
                <c:pt idx="48">
                  <c:v>3.0855065659414042E-2</c:v>
                </c:pt>
                <c:pt idx="49">
                  <c:v>3.0885068395097776E-2</c:v>
                </c:pt>
                <c:pt idx="50">
                  <c:v>3.0915071186557848E-2</c:v>
                </c:pt>
                <c:pt idx="51">
                  <c:v>3.094507403379063E-2</c:v>
                </c:pt>
                <c:pt idx="52">
                  <c:v>3.0975076936931981E-2</c:v>
                </c:pt>
                <c:pt idx="53">
                  <c:v>3.1005079895847006E-2</c:v>
                </c:pt>
                <c:pt idx="54">
                  <c:v>3.1035082910529383E-2</c:v>
                </c:pt>
                <c:pt idx="55">
                  <c:v>3.1065085981126415E-2</c:v>
                </c:pt>
                <c:pt idx="56">
                  <c:v>3.1095089107491841E-2</c:v>
                </c:pt>
                <c:pt idx="57">
                  <c:v>3.1125092289622146E-2</c:v>
                </c:pt>
                <c:pt idx="58">
                  <c:v>3.1155095527669038E-2</c:v>
                </c:pt>
                <c:pt idx="59">
                  <c:v>3.1185098821481804E-2</c:v>
                </c:pt>
                <c:pt idx="60">
                  <c:v>3.1215102171054634E-2</c:v>
                </c:pt>
                <c:pt idx="61">
                  <c:v>3.1245105576550039E-2</c:v>
                </c:pt>
                <c:pt idx="62">
                  <c:v>3.1275109037749368E-2</c:v>
                </c:pt>
                <c:pt idx="63">
                  <c:v>3.1305112554873886E-2</c:v>
                </c:pt>
                <c:pt idx="64">
                  <c:v>3.1335116127755941E-2</c:v>
                </c:pt>
                <c:pt idx="65">
                  <c:v>3.1365119756392459E-2</c:v>
                </c:pt>
                <c:pt idx="66">
                  <c:v>3.1395123440958413E-2</c:v>
                </c:pt>
                <c:pt idx="67">
                  <c:v>3.1425127181277254E-2</c:v>
                </c:pt>
                <c:pt idx="68">
                  <c:v>3.1455130977347388E-2</c:v>
                </c:pt>
                <c:pt idx="69">
                  <c:v>3.148513482934949E-2</c:v>
                </c:pt>
                <c:pt idx="70">
                  <c:v>3.1515138737102988E-2</c:v>
                </c:pt>
                <c:pt idx="71">
                  <c:v>3.1545142700601339E-2</c:v>
                </c:pt>
                <c:pt idx="72">
                  <c:v>3.1575146720038243E-2</c:v>
                </c:pt>
                <c:pt idx="73">
                  <c:v>3.160515079515408E-2</c:v>
                </c:pt>
                <c:pt idx="74">
                  <c:v>3.1635154926210912E-2</c:v>
                </c:pt>
                <c:pt idx="75">
                  <c:v>3.1665159113010842E-2</c:v>
                </c:pt>
                <c:pt idx="76">
                  <c:v>3.1695163355551073E-2</c:v>
                </c:pt>
                <c:pt idx="77">
                  <c:v>3.1725167654034304E-2</c:v>
                </c:pt>
                <c:pt idx="78">
                  <c:v>3.1755172008257407E-2</c:v>
                </c:pt>
                <c:pt idx="79">
                  <c:v>3.1785176418217091E-2</c:v>
                </c:pt>
                <c:pt idx="80">
                  <c:v>3.2017746207395906E-2</c:v>
                </c:pt>
                <c:pt idx="81">
                  <c:v>3.2052752361850616E-2</c:v>
                </c:pt>
                <c:pt idx="82">
                  <c:v>3.2087758592258007E-2</c:v>
                </c:pt>
                <c:pt idx="83">
                  <c:v>3.2122764898545403E-2</c:v>
                </c:pt>
                <c:pt idx="84">
                  <c:v>3.2157771280932633E-2</c:v>
                </c:pt>
                <c:pt idx="85">
                  <c:v>3.21927777391985E-2</c:v>
                </c:pt>
                <c:pt idx="86">
                  <c:v>3.2227784273415619E-2</c:v>
                </c:pt>
                <c:pt idx="87">
                  <c:v>3.2262790883504998E-2</c:v>
                </c:pt>
                <c:pt idx="88">
                  <c:v>3.2297797569700089E-2</c:v>
                </c:pt>
                <c:pt idx="89">
                  <c:v>3.2332804331766378E-2</c:v>
                </c:pt>
                <c:pt idx="90">
                  <c:v>3.2367811169781754E-2</c:v>
                </c:pt>
                <c:pt idx="91">
                  <c:v>3.2402818083663139E-2</c:v>
                </c:pt>
                <c:pt idx="92">
                  <c:v>3.2437825073654641E-2</c:v>
                </c:pt>
                <c:pt idx="93">
                  <c:v>3.2472832139511645E-2</c:v>
                </c:pt>
                <c:pt idx="94">
                  <c:v>3.2507839281230987E-2</c:v>
                </c:pt>
                <c:pt idx="95">
                  <c:v>3.2542846499062E-2</c:v>
                </c:pt>
                <c:pt idx="96">
                  <c:v>3.257785379275515E-2</c:v>
                </c:pt>
                <c:pt idx="97">
                  <c:v>3.2612861162392065E-2</c:v>
                </c:pt>
                <c:pt idx="98">
                  <c:v>3.2647868607883844E-2</c:v>
                </c:pt>
                <c:pt idx="99">
                  <c:v>3.2682876129494283E-2</c:v>
                </c:pt>
                <c:pt idx="100">
                  <c:v>3.271788372695901E-2</c:v>
                </c:pt>
                <c:pt idx="101">
                  <c:v>3.2752891400364866E-2</c:v>
                </c:pt>
                <c:pt idx="102">
                  <c:v>3.2787899149620631E-2</c:v>
                </c:pt>
                <c:pt idx="103">
                  <c:v>3.2822906974997415E-2</c:v>
                </c:pt>
                <c:pt idx="104">
                  <c:v>3.2857914876224192E-2</c:v>
                </c:pt>
                <c:pt idx="105">
                  <c:v>3.2892922853389059E-2</c:v>
                </c:pt>
                <c:pt idx="106">
                  <c:v>3.2927930906397111E-2</c:v>
                </c:pt>
                <c:pt idx="107">
                  <c:v>3.2962939035530818E-2</c:v>
                </c:pt>
                <c:pt idx="108">
                  <c:v>3.2997947240508543E-2</c:v>
                </c:pt>
                <c:pt idx="109">
                  <c:v>3.3032955521420673E-2</c:v>
                </c:pt>
                <c:pt idx="110">
                  <c:v>3.306796387817152E-2</c:v>
                </c:pt>
                <c:pt idx="111">
                  <c:v>3.3102972311051776E-2</c:v>
                </c:pt>
                <c:pt idx="112">
                  <c:v>3.3137980819768882E-2</c:v>
                </c:pt>
                <c:pt idx="113">
                  <c:v>3.3172989404419678E-2</c:v>
                </c:pt>
                <c:pt idx="114">
                  <c:v>3.3207998064900511E-2</c:v>
                </c:pt>
                <c:pt idx="115">
                  <c:v>3.3243006801518045E-2</c:v>
                </c:pt>
                <c:pt idx="116">
                  <c:v>3.3278015613964165E-2</c:v>
                </c:pt>
                <c:pt idx="117">
                  <c:v>3.3313024502342289E-2</c:v>
                </c:pt>
                <c:pt idx="118">
                  <c:v>3.3348033466544358E-2</c:v>
                </c:pt>
                <c:pt idx="119">
                  <c:v>3.3383042506886451E-2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42-44D8-9E6C-F97BF5B28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765504"/>
        <c:axId val="566762880"/>
      </c:lineChart>
      <c:catAx>
        <c:axId val="56676550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62880"/>
        <c:crosses val="autoZero"/>
        <c:auto val="1"/>
        <c:lblAlgn val="ctr"/>
        <c:lblOffset val="100"/>
        <c:noMultiLvlLbl val="0"/>
      </c:catAx>
      <c:valAx>
        <c:axId val="5667628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655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117347</xdr:colOff>
      <xdr:row>25</xdr:row>
      <xdr:rowOff>116497</xdr:rowOff>
    </xdr:from>
    <xdr:to>
      <xdr:col>22</xdr:col>
      <xdr:colOff>439731</xdr:colOff>
      <xdr:row>40</xdr:row>
      <xdr:rowOff>143604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9B4EEDA-DC59-4EBF-9DF5-9EFF601AB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38"/>
  <sheetViews>
    <sheetView showGridLines="0" tabSelected="1" zoomScale="62" workbookViewId="0">
      <selection activeCell="Y23" sqref="Y23"/>
    </sheetView>
  </sheetViews>
  <sheetFormatPr defaultRowHeight="14.5" x14ac:dyDescent="0.35"/>
  <cols>
    <col min="1" max="1" width="11.1796875" bestFit="1" customWidth="1"/>
    <col min="4" max="4" width="11.36328125" bestFit="1" customWidth="1"/>
  </cols>
  <sheetData>
    <row r="1" spans="1:24" x14ac:dyDescent="0.35">
      <c r="A1" s="3" t="s">
        <v>0</v>
      </c>
      <c r="B1" s="5" t="s">
        <v>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6"/>
    </row>
    <row r="2" spans="1:24" x14ac:dyDescent="0.35">
      <c r="A2" s="4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8"/>
    </row>
    <row r="3" spans="1:24" x14ac:dyDescent="0.35">
      <c r="A3" s="1" t="s">
        <v>2</v>
      </c>
      <c r="B3" s="9" t="s">
        <v>3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0"/>
    </row>
    <row r="4" spans="1:24" x14ac:dyDescent="0.35">
      <c r="A4" s="1" t="s">
        <v>4</v>
      </c>
      <c r="B4" s="9" t="s">
        <v>7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/>
    </row>
    <row r="5" spans="1:24" ht="15" thickBot="1" x14ac:dyDescent="0.4">
      <c r="A5" s="2" t="s">
        <v>5</v>
      </c>
      <c r="B5" s="11" t="s">
        <v>6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</row>
    <row r="11" spans="1:24" x14ac:dyDescent="0.35">
      <c r="D11" t="s">
        <v>36</v>
      </c>
      <c r="G11" s="18" t="s">
        <v>37</v>
      </c>
      <c r="M11" t="s">
        <v>39</v>
      </c>
      <c r="X11" t="s">
        <v>42</v>
      </c>
    </row>
    <row r="13" spans="1:24" x14ac:dyDescent="0.35">
      <c r="G13" t="s">
        <v>38</v>
      </c>
      <c r="M13" t="s">
        <v>41</v>
      </c>
      <c r="X13" t="s">
        <v>59</v>
      </c>
    </row>
    <row r="14" spans="1:24" x14ac:dyDescent="0.35">
      <c r="G14" t="str">
        <f>Interpolate_helper()</f>
        <v>oldRates as variant, freq as integer</v>
      </c>
      <c r="M14" t="str">
        <f>ForwardRate_helper()</f>
        <v>freq as Double, date1 as string, date2 as string, rate1 as double, rate2 as double</v>
      </c>
      <c r="X14" t="str">
        <f>FloatingRateNotePrice_helper()</f>
        <v>discountRate as variant, forwardRate as variant, freq as double, couponMargin as double, notional as double</v>
      </c>
    </row>
    <row r="16" spans="1:24" x14ac:dyDescent="0.35">
      <c r="J16" s="13" t="s">
        <v>23</v>
      </c>
      <c r="K16" s="17">
        <f>4</f>
        <v>4</v>
      </c>
    </row>
    <row r="18" spans="1:29" x14ac:dyDescent="0.35">
      <c r="A18" s="14" t="s">
        <v>8</v>
      </c>
      <c r="B18" s="14" t="s">
        <v>21</v>
      </c>
      <c r="D18" s="14" t="s">
        <v>22</v>
      </c>
      <c r="E18" s="14" t="s">
        <v>20</v>
      </c>
      <c r="G18" s="14" t="str">
        <f>D18</f>
        <v>Years</v>
      </c>
      <c r="H18" s="14" t="str">
        <f>E18</f>
        <v>Yield</v>
      </c>
      <c r="M18" s="14" t="str">
        <f>G18</f>
        <v>Years</v>
      </c>
      <c r="N18" s="14" t="str">
        <f>H18</f>
        <v>Yield</v>
      </c>
      <c r="O18" s="14" t="s">
        <v>40</v>
      </c>
      <c r="X18" s="19" t="s">
        <v>43</v>
      </c>
      <c r="Y18" s="20"/>
    </row>
    <row r="19" spans="1:29" x14ac:dyDescent="0.35">
      <c r="A19" s="13" t="s">
        <v>9</v>
      </c>
      <c r="B19" s="15">
        <v>1.7</v>
      </c>
      <c r="D19" s="15">
        <f>1/12</f>
        <v>8.3333333333333329E-2</v>
      </c>
      <c r="E19" s="16">
        <f>B19/100</f>
        <v>1.7000000000000001E-2</v>
      </c>
      <c r="G19" s="15">
        <f t="array" ref="G19:H138">Interpolate($D$19:$E$29,$K$16)</f>
        <v>0.25</v>
      </c>
      <c r="H19" s="16">
        <v>1.9299999999999998E-2</v>
      </c>
      <c r="M19" s="15">
        <f t="shared" ref="M19:M82" si="0">G19</f>
        <v>0.25</v>
      </c>
      <c r="N19" s="16">
        <f t="shared" ref="N19:N82" si="1">H19</f>
        <v>1.9299999999999998E-2</v>
      </c>
      <c r="O19" s="16">
        <f>ForwardRate($K$16,0,M19,0%,N19)</f>
        <v>1.9300000000000317E-2</v>
      </c>
      <c r="X19" s="21" t="s">
        <v>44</v>
      </c>
      <c r="Y19" s="21">
        <v>5</v>
      </c>
    </row>
    <row r="20" spans="1:29" x14ac:dyDescent="0.35">
      <c r="A20" s="13" t="s">
        <v>10</v>
      </c>
      <c r="B20" s="15">
        <v>1.93</v>
      </c>
      <c r="D20" s="15">
        <f>3/12</f>
        <v>0.25</v>
      </c>
      <c r="E20" s="16">
        <f>B20/100</f>
        <v>1.9299999999999998E-2</v>
      </c>
      <c r="G20" s="15">
        <v>0.5</v>
      </c>
      <c r="H20" s="16">
        <v>2.0899999999999998E-2</v>
      </c>
      <c r="M20" s="15">
        <f t="shared" si="0"/>
        <v>0.5</v>
      </c>
      <c r="N20" s="16">
        <f t="shared" si="1"/>
        <v>2.0899999999999998E-2</v>
      </c>
      <c r="O20" s="16">
        <f>ForwardRate($K$16,M19,M20,N19,N20)</f>
        <v>2.2500636926828035E-2</v>
      </c>
      <c r="X20" s="21" t="s">
        <v>45</v>
      </c>
      <c r="Y20" s="21">
        <v>100</v>
      </c>
    </row>
    <row r="21" spans="1:29" x14ac:dyDescent="0.35">
      <c r="A21" s="13" t="s">
        <v>11</v>
      </c>
      <c r="B21" s="15">
        <v>2.09</v>
      </c>
      <c r="D21" s="15">
        <f>6/12</f>
        <v>0.5</v>
      </c>
      <c r="E21" s="16">
        <f>B21/100</f>
        <v>2.0899999999999998E-2</v>
      </c>
      <c r="G21" s="15">
        <v>0.75</v>
      </c>
      <c r="H21" s="16">
        <v>2.1849999999999998E-2</v>
      </c>
      <c r="M21" s="15">
        <f t="shared" si="0"/>
        <v>0.75</v>
      </c>
      <c r="N21" s="16">
        <f t="shared" si="1"/>
        <v>2.1849999999999998E-2</v>
      </c>
      <c r="O21" s="16">
        <f t="shared" ref="O21:O84" si="2">ForwardRate($K$16,M20,M21,N20,N21)</f>
        <v>2.3750673409740731E-2</v>
      </c>
      <c r="X21" s="21" t="s">
        <v>57</v>
      </c>
      <c r="Y21" s="22">
        <v>7.0000000000000001E-3</v>
      </c>
    </row>
    <row r="22" spans="1:29" x14ac:dyDescent="0.35">
      <c r="A22" s="13" t="s">
        <v>12</v>
      </c>
      <c r="B22" s="15">
        <v>2.2799999999999998</v>
      </c>
      <c r="D22" s="15">
        <f>1</f>
        <v>1</v>
      </c>
      <c r="E22" s="16">
        <f>B22/100</f>
        <v>2.2799999999999997E-2</v>
      </c>
      <c r="G22" s="15">
        <v>1</v>
      </c>
      <c r="H22" s="16">
        <v>2.2799999999999997E-2</v>
      </c>
      <c r="M22" s="15">
        <f t="shared" si="0"/>
        <v>1</v>
      </c>
      <c r="N22" s="16">
        <f t="shared" si="1"/>
        <v>2.2799999999999997E-2</v>
      </c>
      <c r="O22" s="16">
        <f t="shared" si="2"/>
        <v>2.5651346607350297E-2</v>
      </c>
      <c r="X22" s="21" t="s">
        <v>46</v>
      </c>
      <c r="Y22" s="22" t="s">
        <v>56</v>
      </c>
    </row>
    <row r="23" spans="1:29" x14ac:dyDescent="0.35">
      <c r="A23" s="13" t="s">
        <v>13</v>
      </c>
      <c r="B23" s="15">
        <v>2.5499999999999998</v>
      </c>
      <c r="D23" s="15">
        <f>2</f>
        <v>2</v>
      </c>
      <c r="E23" s="16">
        <f>B23/100</f>
        <v>2.5499999999999998E-2</v>
      </c>
      <c r="G23" s="15">
        <v>1.25</v>
      </c>
      <c r="H23" s="16">
        <v>2.3474999999999996E-2</v>
      </c>
      <c r="M23" s="15">
        <f t="shared" si="0"/>
        <v>1.25</v>
      </c>
      <c r="N23" s="16">
        <f t="shared" si="1"/>
        <v>2.3474999999999996E-2</v>
      </c>
      <c r="O23" s="16">
        <f t="shared" si="2"/>
        <v>2.6176132796703014E-2</v>
      </c>
      <c r="X23" s="21" t="s">
        <v>47</v>
      </c>
      <c r="Y23" s="21" t="s">
        <v>52</v>
      </c>
    </row>
    <row r="24" spans="1:29" x14ac:dyDescent="0.35">
      <c r="A24" s="13" t="s">
        <v>14</v>
      </c>
      <c r="B24" s="15">
        <v>2.7</v>
      </c>
      <c r="D24" s="15">
        <f>3</f>
        <v>3</v>
      </c>
      <c r="E24" s="16">
        <f>B24/100</f>
        <v>2.7000000000000003E-2</v>
      </c>
      <c r="G24" s="15">
        <v>1.5</v>
      </c>
      <c r="H24" s="16">
        <v>2.4149999999999998E-2</v>
      </c>
      <c r="M24" s="15">
        <f t="shared" si="0"/>
        <v>1.5</v>
      </c>
      <c r="N24" s="16">
        <f t="shared" si="1"/>
        <v>2.4149999999999998E-2</v>
      </c>
      <c r="O24" s="16">
        <f t="shared" si="2"/>
        <v>2.752669900495008E-2</v>
      </c>
      <c r="X24" s="21" t="s">
        <v>48</v>
      </c>
      <c r="Y24" s="21" t="s">
        <v>49</v>
      </c>
    </row>
    <row r="25" spans="1:29" x14ac:dyDescent="0.35">
      <c r="A25" s="13" t="s">
        <v>15</v>
      </c>
      <c r="B25" s="15">
        <v>2.85</v>
      </c>
      <c r="D25" s="15">
        <f>5</f>
        <v>5</v>
      </c>
      <c r="E25" s="16">
        <f>B25/100</f>
        <v>2.8500000000000001E-2</v>
      </c>
      <c r="G25" s="15">
        <v>1.75</v>
      </c>
      <c r="H25" s="16">
        <v>2.4825E-2</v>
      </c>
      <c r="M25" s="15">
        <f t="shared" si="0"/>
        <v>1.75</v>
      </c>
      <c r="N25" s="16">
        <f t="shared" si="1"/>
        <v>2.4825E-2</v>
      </c>
      <c r="O25" s="16">
        <f t="shared" si="2"/>
        <v>2.8877378340851304E-2</v>
      </c>
      <c r="X25" s="21" t="s">
        <v>55</v>
      </c>
      <c r="Y25" s="21" t="s">
        <v>58</v>
      </c>
    </row>
    <row r="26" spans="1:29" ht="15" thickBot="1" x14ac:dyDescent="0.4">
      <c r="A26" s="13" t="s">
        <v>16</v>
      </c>
      <c r="B26" s="15">
        <v>2.96</v>
      </c>
      <c r="D26" s="15">
        <f>7</f>
        <v>7</v>
      </c>
      <c r="E26" s="16">
        <f>B26/100</f>
        <v>2.9600000000000001E-2</v>
      </c>
      <c r="G26" s="15">
        <v>2</v>
      </c>
      <c r="H26" s="16">
        <v>2.5499999999999998E-2</v>
      </c>
      <c r="M26" s="15">
        <f t="shared" si="0"/>
        <v>2</v>
      </c>
      <c r="N26" s="16">
        <f t="shared" si="1"/>
        <v>2.5499999999999998E-2</v>
      </c>
      <c r="O26" s="16">
        <f t="shared" si="2"/>
        <v>3.0228170766432132E-2</v>
      </c>
    </row>
    <row r="27" spans="1:29" ht="15" thickBot="1" x14ac:dyDescent="0.4">
      <c r="A27" s="13" t="s">
        <v>17</v>
      </c>
      <c r="B27" s="15">
        <v>3</v>
      </c>
      <c r="D27" s="15">
        <f>10</f>
        <v>10</v>
      </c>
      <c r="E27" s="16">
        <f>B27/100</f>
        <v>0.03</v>
      </c>
      <c r="G27" s="15">
        <v>2.25</v>
      </c>
      <c r="H27" s="16">
        <v>2.5874999999999999E-2</v>
      </c>
      <c r="M27" s="15">
        <f t="shared" si="0"/>
        <v>2.25</v>
      </c>
      <c r="N27" s="16">
        <f t="shared" si="1"/>
        <v>2.5874999999999999E-2</v>
      </c>
      <c r="O27" s="16">
        <f t="shared" si="2"/>
        <v>2.8876257881147459E-2</v>
      </c>
      <c r="X27" s="23" t="s">
        <v>50</v>
      </c>
      <c r="Y27" s="24">
        <f>FloatingRateNotePrice(N19:N38,O19:O38,$K$16,$Y$21,$Y$20)</f>
        <v>103.2648735579529</v>
      </c>
      <c r="AB27" s="23" t="s">
        <v>51</v>
      </c>
      <c r="AC27" s="24" t="str">
        <f>IF($Y$27=$AC$29,"Well Done!","Try Again!")</f>
        <v>Well Done!</v>
      </c>
    </row>
    <row r="28" spans="1:29" x14ac:dyDescent="0.35">
      <c r="A28" s="13" t="s">
        <v>18</v>
      </c>
      <c r="B28" s="15">
        <v>3.06</v>
      </c>
      <c r="D28" s="15">
        <f>20</f>
        <v>20</v>
      </c>
      <c r="E28" s="16">
        <f>B28/100</f>
        <v>3.0600000000000002E-2</v>
      </c>
      <c r="G28" s="15">
        <v>2.5</v>
      </c>
      <c r="H28" s="16">
        <v>2.6249999999999999E-2</v>
      </c>
      <c r="I28" t="s">
        <v>24</v>
      </c>
      <c r="J28" t="s">
        <v>28</v>
      </c>
      <c r="M28" s="15">
        <f t="shared" si="0"/>
        <v>2.5</v>
      </c>
      <c r="N28" s="16">
        <f t="shared" si="1"/>
        <v>2.6249999999999999E-2</v>
      </c>
      <c r="O28" s="16">
        <f t="shared" si="2"/>
        <v>2.9626572253763715E-2</v>
      </c>
    </row>
    <row r="29" spans="1:29" x14ac:dyDescent="0.35">
      <c r="A29" s="13" t="s">
        <v>19</v>
      </c>
      <c r="B29" s="15">
        <v>3.13</v>
      </c>
      <c r="D29" s="15">
        <f>30</f>
        <v>30</v>
      </c>
      <c r="E29" s="16">
        <f>B29/100</f>
        <v>3.1300000000000001E-2</v>
      </c>
      <c r="G29" s="15">
        <v>2.75</v>
      </c>
      <c r="H29" s="16">
        <v>2.6625000000000003E-2</v>
      </c>
      <c r="M29" s="15">
        <f t="shared" si="0"/>
        <v>2.75</v>
      </c>
      <c r="N29" s="16">
        <f t="shared" si="1"/>
        <v>2.6625000000000003E-2</v>
      </c>
      <c r="O29" s="16">
        <f t="shared" si="2"/>
        <v>3.0376921524126594E-2</v>
      </c>
      <c r="X29" s="21" t="s">
        <v>22</v>
      </c>
      <c r="Y29" s="21" t="s">
        <v>53</v>
      </c>
      <c r="Z29" s="21" t="s">
        <v>54</v>
      </c>
      <c r="AB29" s="21" t="s">
        <v>50</v>
      </c>
      <c r="AC29" s="25">
        <f>SUM(Z30:Z50)</f>
        <v>103.26487355795295</v>
      </c>
    </row>
    <row r="30" spans="1:29" x14ac:dyDescent="0.35">
      <c r="G30" s="15">
        <v>3</v>
      </c>
      <c r="H30" s="16">
        <v>2.7000000000000003E-2</v>
      </c>
      <c r="M30" s="15">
        <f t="shared" si="0"/>
        <v>3</v>
      </c>
      <c r="N30" s="16">
        <f t="shared" si="1"/>
        <v>2.7000000000000003E-2</v>
      </c>
      <c r="O30" s="16">
        <f t="shared" si="2"/>
        <v>3.1127305685733922E-2</v>
      </c>
      <c r="X30" s="26">
        <v>0</v>
      </c>
      <c r="Y30" s="25">
        <v>0</v>
      </c>
      <c r="Z30" s="25">
        <f>Y30/(1+0/$K$16)^(X30*$K$16)</f>
        <v>0</v>
      </c>
    </row>
    <row r="31" spans="1:29" x14ac:dyDescent="0.35">
      <c r="G31" s="15">
        <v>3.25</v>
      </c>
      <c r="H31" s="16">
        <v>2.7187500000000003E-2</v>
      </c>
      <c r="M31" s="15">
        <f t="shared" si="0"/>
        <v>3.25</v>
      </c>
      <c r="N31" s="16">
        <f t="shared" si="1"/>
        <v>2.7187500000000003E-2</v>
      </c>
      <c r="O31" s="16">
        <f t="shared" si="2"/>
        <v>2.9438181066726254E-2</v>
      </c>
      <c r="X31" s="26">
        <f>M19</f>
        <v>0.25</v>
      </c>
      <c r="Y31" s="25">
        <f>$Y$20*(($Y$21+O19)/$K$16)</f>
        <v>0.65750000000000786</v>
      </c>
      <c r="Z31" s="25">
        <f>Y31/(1+N19/$K$16)^(X31*$K$16)</f>
        <v>0.65434279600926315</v>
      </c>
    </row>
    <row r="32" spans="1:29" x14ac:dyDescent="0.35">
      <c r="G32" s="15">
        <v>3.5</v>
      </c>
      <c r="H32" s="16">
        <v>2.7375000000000003E-2</v>
      </c>
      <c r="M32" s="15">
        <f t="shared" si="0"/>
        <v>3.5</v>
      </c>
      <c r="N32" s="16">
        <f t="shared" si="1"/>
        <v>2.7375000000000003E-2</v>
      </c>
      <c r="O32" s="16">
        <f t="shared" si="2"/>
        <v>2.9813294553179787E-2</v>
      </c>
      <c r="X32" s="26">
        <f t="shared" ref="X32:X50" si="3">M20</f>
        <v>0.5</v>
      </c>
      <c r="Y32" s="25">
        <f t="shared" ref="Y32:Y50" si="4">$Y$20*(($Y$21+O20)/$K$16)</f>
        <v>0.73751592317070092</v>
      </c>
      <c r="Z32" s="25">
        <f t="shared" ref="Z32:Z50" si="5">Y32/(1+N20/$K$16)^(X32*$K$16)</f>
        <v>0.72986886762773673</v>
      </c>
    </row>
    <row r="33" spans="7:26" x14ac:dyDescent="0.35">
      <c r="G33" s="15">
        <v>3.75</v>
      </c>
      <c r="H33" s="16">
        <v>2.7562500000000004E-2</v>
      </c>
      <c r="M33" s="15">
        <f t="shared" si="0"/>
        <v>3.75</v>
      </c>
      <c r="N33" s="16">
        <f t="shared" si="1"/>
        <v>2.7562500000000004E-2</v>
      </c>
      <c r="O33" s="16">
        <f t="shared" si="2"/>
        <v>3.0188416763667493E-2</v>
      </c>
      <c r="X33" s="26">
        <f t="shared" si="3"/>
        <v>0.75</v>
      </c>
      <c r="Y33" s="25">
        <f t="shared" si="4"/>
        <v>0.7687668352435183</v>
      </c>
      <c r="Z33" s="25">
        <f t="shared" si="5"/>
        <v>0.75630506083765847</v>
      </c>
    </row>
    <row r="34" spans="7:26" x14ac:dyDescent="0.35">
      <c r="G34" s="15">
        <v>4</v>
      </c>
      <c r="H34" s="16">
        <v>2.7750000000000004E-2</v>
      </c>
      <c r="M34" s="15">
        <f t="shared" si="0"/>
        <v>4</v>
      </c>
      <c r="N34" s="16">
        <f t="shared" si="1"/>
        <v>2.7750000000000004E-2</v>
      </c>
      <c r="O34" s="16">
        <f t="shared" si="2"/>
        <v>3.0563547697378724E-2</v>
      </c>
      <c r="X34" s="26">
        <f t="shared" si="3"/>
        <v>1</v>
      </c>
      <c r="Y34" s="25">
        <f t="shared" si="4"/>
        <v>0.8162836651837575</v>
      </c>
      <c r="Z34" s="25">
        <f t="shared" si="5"/>
        <v>0.79793461466567694</v>
      </c>
    </row>
    <row r="35" spans="7:26" x14ac:dyDescent="0.35">
      <c r="G35" s="15">
        <v>4.25</v>
      </c>
      <c r="H35" s="16">
        <v>2.7937500000000004E-2</v>
      </c>
      <c r="M35" s="15">
        <f t="shared" si="0"/>
        <v>4.25</v>
      </c>
      <c r="N35" s="16">
        <f t="shared" si="1"/>
        <v>2.7937500000000004E-2</v>
      </c>
      <c r="O35" s="16">
        <f t="shared" si="2"/>
        <v>3.0938687353502217E-2</v>
      </c>
      <c r="X35" s="26">
        <f t="shared" si="3"/>
        <v>1.25</v>
      </c>
      <c r="Y35" s="25">
        <f t="shared" si="4"/>
        <v>0.82940331991757532</v>
      </c>
      <c r="Z35" s="25">
        <f t="shared" si="5"/>
        <v>0.80548821411961413</v>
      </c>
    </row>
    <row r="36" spans="7:26" x14ac:dyDescent="0.35">
      <c r="G36" s="15">
        <v>4.5</v>
      </c>
      <c r="H36" s="16">
        <v>2.8125000000000004E-2</v>
      </c>
      <c r="M36" s="15">
        <f t="shared" si="0"/>
        <v>4.5</v>
      </c>
      <c r="N36" s="16">
        <f t="shared" si="1"/>
        <v>2.8125000000000004E-2</v>
      </c>
      <c r="O36" s="16">
        <f t="shared" si="2"/>
        <v>3.1313835731223226E-2</v>
      </c>
      <c r="X36" s="26">
        <f t="shared" si="3"/>
        <v>1.5</v>
      </c>
      <c r="Y36" s="25">
        <f t="shared" si="4"/>
        <v>0.86316747512375203</v>
      </c>
      <c r="Z36" s="25">
        <f t="shared" si="5"/>
        <v>0.83254947528832834</v>
      </c>
    </row>
    <row r="37" spans="7:26" x14ac:dyDescent="0.35">
      <c r="G37" s="15">
        <v>4.75</v>
      </c>
      <c r="H37" s="16">
        <v>2.8312500000000004E-2</v>
      </c>
      <c r="M37" s="15">
        <f t="shared" si="0"/>
        <v>4.75</v>
      </c>
      <c r="N37" s="16">
        <f t="shared" si="1"/>
        <v>2.8312500000000004E-2</v>
      </c>
      <c r="O37" s="16">
        <f t="shared" si="2"/>
        <v>3.1688992829731158E-2</v>
      </c>
      <c r="X37" s="26">
        <f t="shared" si="3"/>
        <v>1.75</v>
      </c>
      <c r="Y37" s="25">
        <f t="shared" si="4"/>
        <v>0.89693445852128262</v>
      </c>
      <c r="Z37" s="25">
        <f t="shared" si="5"/>
        <v>0.85891786305700313</v>
      </c>
    </row>
    <row r="38" spans="7:26" x14ac:dyDescent="0.35">
      <c r="G38" s="15">
        <v>5</v>
      </c>
      <c r="H38" s="16">
        <v>2.8500000000000001E-2</v>
      </c>
      <c r="I38" t="s">
        <v>25</v>
      </c>
      <c r="J38" t="s">
        <v>29</v>
      </c>
      <c r="M38" s="15">
        <f t="shared" si="0"/>
        <v>5</v>
      </c>
      <c r="N38" s="16">
        <f t="shared" si="1"/>
        <v>2.8500000000000001E-2</v>
      </c>
      <c r="O38" s="16">
        <f t="shared" si="2"/>
        <v>3.2064158648212111E-2</v>
      </c>
      <c r="X38" s="26">
        <f t="shared" si="3"/>
        <v>2</v>
      </c>
      <c r="Y38" s="25">
        <f t="shared" si="4"/>
        <v>0.93070426916080329</v>
      </c>
      <c r="Z38" s="25">
        <f t="shared" si="5"/>
        <v>0.88457159390289208</v>
      </c>
    </row>
    <row r="39" spans="7:26" x14ac:dyDescent="0.35">
      <c r="G39" s="15">
        <v>5.25</v>
      </c>
      <c r="H39" s="16">
        <v>2.86375E-2</v>
      </c>
      <c r="M39" s="15">
        <f t="shared" si="0"/>
        <v>5.25</v>
      </c>
      <c r="N39" s="16">
        <f t="shared" si="1"/>
        <v>2.86375E-2</v>
      </c>
      <c r="O39" s="16">
        <f t="shared" si="2"/>
        <v>3.1388485769119928E-2</v>
      </c>
      <c r="X39" s="26">
        <f t="shared" si="3"/>
        <v>2.25</v>
      </c>
      <c r="Y39" s="25">
        <f t="shared" si="4"/>
        <v>0.8969064470286866</v>
      </c>
      <c r="Z39" s="25">
        <f t="shared" si="5"/>
        <v>0.84633926727269482</v>
      </c>
    </row>
    <row r="40" spans="7:26" x14ac:dyDescent="0.35">
      <c r="G40" s="15">
        <v>5.5</v>
      </c>
      <c r="H40" s="16">
        <v>2.8774999999999998E-2</v>
      </c>
      <c r="M40" s="15">
        <f t="shared" si="0"/>
        <v>5.5</v>
      </c>
      <c r="N40" s="16">
        <f t="shared" si="1"/>
        <v>2.8774999999999998E-2</v>
      </c>
      <c r="O40" s="16">
        <f t="shared" si="2"/>
        <v>3.1663584321350982E-2</v>
      </c>
      <c r="X40" s="26">
        <f t="shared" si="3"/>
        <v>2.5</v>
      </c>
      <c r="Y40" s="25">
        <f t="shared" si="4"/>
        <v>0.9156643063440929</v>
      </c>
      <c r="Z40" s="25">
        <f t="shared" si="5"/>
        <v>0.85768698560274526</v>
      </c>
    </row>
    <row r="41" spans="7:26" x14ac:dyDescent="0.35">
      <c r="G41" s="15">
        <v>5.75</v>
      </c>
      <c r="H41" s="16">
        <v>2.8912500000000001E-2</v>
      </c>
      <c r="M41" s="15">
        <f t="shared" si="0"/>
        <v>5.75</v>
      </c>
      <c r="N41" s="16">
        <f t="shared" si="1"/>
        <v>2.8912500000000001E-2</v>
      </c>
      <c r="O41" s="16">
        <f t="shared" si="2"/>
        <v>3.1938687563001708E-2</v>
      </c>
      <c r="X41" s="26">
        <f t="shared" si="3"/>
        <v>2.75</v>
      </c>
      <c r="Y41" s="25">
        <f t="shared" si="4"/>
        <v>0.93442303810316496</v>
      </c>
      <c r="Z41" s="25">
        <f t="shared" si="5"/>
        <v>0.86866115364291019</v>
      </c>
    </row>
    <row r="42" spans="7:26" x14ac:dyDescent="0.35">
      <c r="G42" s="15">
        <v>6</v>
      </c>
      <c r="H42" s="16">
        <v>2.9049999999999999E-2</v>
      </c>
      <c r="M42" s="15">
        <f t="shared" si="0"/>
        <v>6</v>
      </c>
      <c r="N42" s="16">
        <f t="shared" si="1"/>
        <v>2.9049999999999999E-2</v>
      </c>
      <c r="O42" s="16">
        <f t="shared" si="2"/>
        <v>3.2213795493810794E-2</v>
      </c>
      <c r="X42" s="26">
        <f t="shared" si="3"/>
        <v>3</v>
      </c>
      <c r="Y42" s="25">
        <f t="shared" si="4"/>
        <v>0.95318264214334802</v>
      </c>
      <c r="Z42" s="25">
        <f t="shared" si="5"/>
        <v>0.87925827784603061</v>
      </c>
    </row>
    <row r="43" spans="7:26" x14ac:dyDescent="0.35">
      <c r="G43" s="15">
        <v>6.25</v>
      </c>
      <c r="H43" s="16">
        <v>2.9187499999999998E-2</v>
      </c>
      <c r="M43" s="15">
        <f t="shared" si="0"/>
        <v>6.25</v>
      </c>
      <c r="N43" s="16">
        <f t="shared" si="1"/>
        <v>2.9187499999999998E-2</v>
      </c>
      <c r="O43" s="16">
        <f t="shared" si="2"/>
        <v>3.2488908113398933E-2</v>
      </c>
      <c r="X43" s="26">
        <f t="shared" si="3"/>
        <v>3.25</v>
      </c>
      <c r="Y43" s="25">
        <f t="shared" si="4"/>
        <v>0.91095452666815646</v>
      </c>
      <c r="Z43" s="25">
        <f t="shared" si="5"/>
        <v>0.83416609334596614</v>
      </c>
    </row>
    <row r="44" spans="7:26" x14ac:dyDescent="0.35">
      <c r="G44" s="15">
        <v>6.5</v>
      </c>
      <c r="H44" s="16">
        <v>2.9325E-2</v>
      </c>
      <c r="M44" s="15">
        <f t="shared" si="0"/>
        <v>6.5</v>
      </c>
      <c r="N44" s="16">
        <f t="shared" si="1"/>
        <v>2.9325E-2</v>
      </c>
      <c r="O44" s="16">
        <f t="shared" si="2"/>
        <v>3.2764025421463991E-2</v>
      </c>
      <c r="X44" s="26">
        <f t="shared" si="3"/>
        <v>3.5</v>
      </c>
      <c r="Y44" s="25">
        <f t="shared" si="4"/>
        <v>0.92033236382949479</v>
      </c>
      <c r="Z44" s="25">
        <f t="shared" si="5"/>
        <v>0.83651858689219338</v>
      </c>
    </row>
    <row r="45" spans="7:26" x14ac:dyDescent="0.35">
      <c r="G45" s="15">
        <v>6.75</v>
      </c>
      <c r="H45" s="16">
        <v>2.9462500000000003E-2</v>
      </c>
      <c r="M45" s="15">
        <f t="shared" si="0"/>
        <v>6.75</v>
      </c>
      <c r="N45" s="16">
        <f t="shared" si="1"/>
        <v>2.9462500000000003E-2</v>
      </c>
      <c r="O45" s="16">
        <f t="shared" si="2"/>
        <v>3.303914741768952E-2</v>
      </c>
      <c r="X45" s="26">
        <f t="shared" si="3"/>
        <v>3.75</v>
      </c>
      <c r="Y45" s="25">
        <f t="shared" si="4"/>
        <v>0.92971041909168728</v>
      </c>
      <c r="Z45" s="25">
        <f t="shared" si="5"/>
        <v>0.83871273931540691</v>
      </c>
    </row>
    <row r="46" spans="7:26" x14ac:dyDescent="0.35">
      <c r="G46" s="15">
        <v>7</v>
      </c>
      <c r="H46" s="16">
        <v>2.9600000000000001E-2</v>
      </c>
      <c r="M46" s="15">
        <f t="shared" si="0"/>
        <v>7</v>
      </c>
      <c r="N46" s="16">
        <f t="shared" si="1"/>
        <v>2.9600000000000001E-2</v>
      </c>
      <c r="O46" s="16">
        <f t="shared" si="2"/>
        <v>3.3314274101751418E-2</v>
      </c>
      <c r="X46" s="26">
        <f t="shared" si="3"/>
        <v>4</v>
      </c>
      <c r="Y46" s="25">
        <f t="shared" si="4"/>
        <v>0.93908869243446813</v>
      </c>
      <c r="Z46" s="25">
        <f t="shared" si="5"/>
        <v>0.8407490230146758</v>
      </c>
    </row>
    <row r="47" spans="7:26" x14ac:dyDescent="0.35">
      <c r="G47" s="15">
        <v>7.25</v>
      </c>
      <c r="H47" s="16">
        <v>2.9633333333333334E-2</v>
      </c>
      <c r="M47" s="15">
        <f t="shared" si="0"/>
        <v>7.25</v>
      </c>
      <c r="N47" s="16">
        <f t="shared" si="1"/>
        <v>2.9633333333333334E-2</v>
      </c>
      <c r="O47" s="16">
        <f t="shared" si="2"/>
        <v>3.0566778624334559E-2</v>
      </c>
      <c r="X47" s="26">
        <f t="shared" si="3"/>
        <v>4.25</v>
      </c>
      <c r="Y47" s="25">
        <f t="shared" si="4"/>
        <v>0.94846718383755546</v>
      </c>
      <c r="Z47" s="25">
        <f t="shared" si="5"/>
        <v>0.84262796496925663</v>
      </c>
    </row>
    <row r="48" spans="7:26" x14ac:dyDescent="0.35">
      <c r="G48" s="15">
        <v>7.5</v>
      </c>
      <c r="H48" s="16">
        <v>2.9666666666666668E-2</v>
      </c>
      <c r="I48" t="s">
        <v>26</v>
      </c>
      <c r="J48" t="s">
        <v>27</v>
      </c>
      <c r="M48" s="15">
        <f t="shared" si="0"/>
        <v>7.5</v>
      </c>
      <c r="N48" s="16">
        <f t="shared" si="1"/>
        <v>2.9666666666666668E-2</v>
      </c>
      <c r="O48" s="16">
        <f t="shared" si="2"/>
        <v>3.0633453287343494E-2</v>
      </c>
      <c r="X48" s="26">
        <f t="shared" si="3"/>
        <v>4.5</v>
      </c>
      <c r="Y48" s="25">
        <f t="shared" si="4"/>
        <v>0.95784589328058067</v>
      </c>
      <c r="Z48" s="25">
        <f t="shared" si="5"/>
        <v>0.84435014609749992</v>
      </c>
    </row>
    <row r="49" spans="7:26" x14ac:dyDescent="0.35">
      <c r="G49" s="15">
        <v>7.75</v>
      </c>
      <c r="H49" s="16">
        <v>2.9700000000000001E-2</v>
      </c>
      <c r="M49" s="15">
        <f t="shared" si="0"/>
        <v>7.75</v>
      </c>
      <c r="N49" s="16">
        <f t="shared" si="1"/>
        <v>2.9700000000000001E-2</v>
      </c>
      <c r="O49" s="16">
        <f t="shared" si="2"/>
        <v>3.0700128225992707E-2</v>
      </c>
      <c r="X49" s="26">
        <f t="shared" si="3"/>
        <v>4.75</v>
      </c>
      <c r="Y49" s="25">
        <f t="shared" si="4"/>
        <v>0.96722482074327898</v>
      </c>
      <c r="Z49" s="25">
        <f t="shared" si="5"/>
        <v>0.84591620059083239</v>
      </c>
    </row>
    <row r="50" spans="7:26" x14ac:dyDescent="0.35">
      <c r="G50" s="15">
        <v>8</v>
      </c>
      <c r="H50" s="16">
        <v>2.9733333333333334E-2</v>
      </c>
      <c r="M50" s="15">
        <f t="shared" si="0"/>
        <v>8</v>
      </c>
      <c r="N50" s="16">
        <f t="shared" si="1"/>
        <v>2.9733333333333334E-2</v>
      </c>
      <c r="O50" s="16">
        <f t="shared" si="2"/>
        <v>3.0766803440305163E-2</v>
      </c>
      <c r="X50" s="26">
        <f t="shared" si="3"/>
        <v>5</v>
      </c>
      <c r="Y50" s="25">
        <f>$Y$20*(($Y$21+O38)/$K$16)+$Y$20</f>
        <v>100.9766039662053</v>
      </c>
      <c r="Z50" s="25">
        <f t="shared" si="5"/>
        <v>87.609908633854573</v>
      </c>
    </row>
    <row r="51" spans="7:26" x14ac:dyDescent="0.35">
      <c r="G51" s="15">
        <v>8.25</v>
      </c>
      <c r="H51" s="16">
        <v>2.9766666666666667E-2</v>
      </c>
      <c r="M51" s="15">
        <f t="shared" si="0"/>
        <v>8.25</v>
      </c>
      <c r="N51" s="16">
        <f t="shared" si="1"/>
        <v>2.9766666666666667E-2</v>
      </c>
      <c r="O51" s="16">
        <f t="shared" si="2"/>
        <v>3.0833478930244948E-2</v>
      </c>
    </row>
    <row r="52" spans="7:26" x14ac:dyDescent="0.35">
      <c r="G52" s="15">
        <v>8.5</v>
      </c>
      <c r="H52" s="16">
        <v>2.98E-2</v>
      </c>
      <c r="M52" s="15">
        <f t="shared" si="0"/>
        <v>8.5</v>
      </c>
      <c r="N52" s="16">
        <f t="shared" si="1"/>
        <v>2.98E-2</v>
      </c>
      <c r="O52" s="16">
        <f t="shared" si="2"/>
        <v>3.0900154695895469E-2</v>
      </c>
    </row>
    <row r="53" spans="7:26" x14ac:dyDescent="0.35">
      <c r="G53" s="15">
        <v>8.75</v>
      </c>
      <c r="H53" s="16">
        <v>2.9833333333333333E-2</v>
      </c>
      <c r="M53" s="15">
        <f t="shared" si="0"/>
        <v>8.75</v>
      </c>
      <c r="N53" s="16">
        <f t="shared" si="1"/>
        <v>2.9833333333333333E-2</v>
      </c>
      <c r="O53" s="16">
        <f t="shared" si="2"/>
        <v>3.0966830737165982E-2</v>
      </c>
    </row>
    <row r="54" spans="7:26" x14ac:dyDescent="0.35">
      <c r="G54" s="15">
        <v>9</v>
      </c>
      <c r="H54" s="16">
        <v>2.9866666666666666E-2</v>
      </c>
      <c r="M54" s="15">
        <f t="shared" si="0"/>
        <v>9</v>
      </c>
      <c r="N54" s="16">
        <f t="shared" si="1"/>
        <v>2.9866666666666666E-2</v>
      </c>
      <c r="O54" s="16">
        <f t="shared" si="2"/>
        <v>3.1033507054080551E-2</v>
      </c>
    </row>
    <row r="55" spans="7:26" x14ac:dyDescent="0.35">
      <c r="G55" s="15">
        <v>9.25</v>
      </c>
      <c r="H55" s="16">
        <v>2.9899999999999999E-2</v>
      </c>
      <c r="M55" s="15">
        <f t="shared" si="0"/>
        <v>9.25</v>
      </c>
      <c r="N55" s="16">
        <f t="shared" si="1"/>
        <v>2.9899999999999999E-2</v>
      </c>
      <c r="O55" s="16">
        <f t="shared" si="2"/>
        <v>3.1100183646601477E-2</v>
      </c>
    </row>
    <row r="56" spans="7:26" x14ac:dyDescent="0.35">
      <c r="G56" s="15">
        <v>9.5</v>
      </c>
      <c r="H56" s="16">
        <v>2.9933333333333333E-2</v>
      </c>
      <c r="M56" s="15">
        <f t="shared" si="0"/>
        <v>9.5</v>
      </c>
      <c r="N56" s="16">
        <f t="shared" si="1"/>
        <v>2.9933333333333333E-2</v>
      </c>
      <c r="O56" s="16">
        <f t="shared" si="2"/>
        <v>3.1166860514821992E-2</v>
      </c>
    </row>
    <row r="57" spans="7:26" x14ac:dyDescent="0.35">
      <c r="G57" s="15">
        <v>9.75</v>
      </c>
      <c r="H57" s="16">
        <v>2.9966666666666666E-2</v>
      </c>
      <c r="M57" s="15">
        <f t="shared" si="0"/>
        <v>9.75</v>
      </c>
      <c r="N57" s="16">
        <f t="shared" si="1"/>
        <v>2.9966666666666666E-2</v>
      </c>
      <c r="O57" s="16">
        <f t="shared" si="2"/>
        <v>3.1233537658639704E-2</v>
      </c>
    </row>
    <row r="58" spans="7:26" x14ac:dyDescent="0.35">
      <c r="G58" s="15">
        <v>10</v>
      </c>
      <c r="H58" s="16">
        <v>0.03</v>
      </c>
      <c r="M58" s="15">
        <f t="shared" si="0"/>
        <v>10</v>
      </c>
      <c r="N58" s="16">
        <f t="shared" si="1"/>
        <v>0.03</v>
      </c>
      <c r="O58" s="16">
        <f t="shared" si="2"/>
        <v>3.130021507808467E-2</v>
      </c>
    </row>
    <row r="59" spans="7:26" x14ac:dyDescent="0.35">
      <c r="G59" s="15">
        <v>10.25</v>
      </c>
      <c r="H59" s="16">
        <v>3.0015E-2</v>
      </c>
      <c r="M59" s="15">
        <f t="shared" si="0"/>
        <v>10.25</v>
      </c>
      <c r="N59" s="16">
        <f t="shared" si="1"/>
        <v>3.0015E-2</v>
      </c>
      <c r="O59" s="16">
        <f t="shared" si="2"/>
        <v>3.0615045783829915E-2</v>
      </c>
    </row>
    <row r="60" spans="7:26" x14ac:dyDescent="0.35">
      <c r="G60" s="15">
        <v>10.5</v>
      </c>
      <c r="H60" s="16">
        <v>3.0030000000000001E-2</v>
      </c>
      <c r="M60" s="15">
        <f t="shared" si="0"/>
        <v>10.5</v>
      </c>
      <c r="N60" s="16">
        <f t="shared" si="1"/>
        <v>3.0030000000000001E-2</v>
      </c>
      <c r="O60" s="16">
        <f t="shared" si="2"/>
        <v>3.0645048072939232E-2</v>
      </c>
    </row>
    <row r="61" spans="7:26" x14ac:dyDescent="0.35">
      <c r="G61" s="15">
        <v>10.75</v>
      </c>
      <c r="H61" s="16">
        <v>3.0045000000000002E-2</v>
      </c>
      <c r="M61" s="15">
        <f t="shared" si="0"/>
        <v>10.75</v>
      </c>
      <c r="N61" s="16">
        <f t="shared" si="1"/>
        <v>3.0045000000000002E-2</v>
      </c>
      <c r="O61" s="16">
        <f t="shared" si="2"/>
        <v>3.0675050417835734E-2</v>
      </c>
    </row>
    <row r="62" spans="7:26" x14ac:dyDescent="0.35">
      <c r="G62" s="15">
        <v>11</v>
      </c>
      <c r="H62" s="16">
        <v>3.0060000000000003E-2</v>
      </c>
      <c r="M62" s="15">
        <f t="shared" si="0"/>
        <v>11</v>
      </c>
      <c r="N62" s="16">
        <f t="shared" si="1"/>
        <v>3.0060000000000003E-2</v>
      </c>
      <c r="O62" s="16">
        <f t="shared" si="2"/>
        <v>3.0705052818515433E-2</v>
      </c>
    </row>
    <row r="63" spans="7:26" x14ac:dyDescent="0.35">
      <c r="G63" s="15">
        <v>11.25</v>
      </c>
      <c r="H63" s="16">
        <v>3.0075000000000005E-2</v>
      </c>
      <c r="M63" s="15">
        <f t="shared" si="0"/>
        <v>11.25</v>
      </c>
      <c r="N63" s="16">
        <f t="shared" si="1"/>
        <v>3.0075000000000005E-2</v>
      </c>
      <c r="O63" s="16">
        <f t="shared" si="2"/>
        <v>3.0735055275092921E-2</v>
      </c>
    </row>
    <row r="64" spans="7:26" x14ac:dyDescent="0.35">
      <c r="G64" s="15">
        <v>11.5</v>
      </c>
      <c r="H64" s="16">
        <v>3.0090000000000006E-2</v>
      </c>
      <c r="M64" s="15">
        <f t="shared" si="0"/>
        <v>11.5</v>
      </c>
      <c r="N64" s="16">
        <f t="shared" si="1"/>
        <v>3.0090000000000006E-2</v>
      </c>
      <c r="O64" s="16">
        <f t="shared" si="2"/>
        <v>3.0765057787453896E-2</v>
      </c>
    </row>
    <row r="65" spans="7:15" x14ac:dyDescent="0.35">
      <c r="G65" s="15">
        <v>11.75</v>
      </c>
      <c r="H65" s="16">
        <v>3.0105000000000007E-2</v>
      </c>
      <c r="M65" s="15">
        <f t="shared" si="0"/>
        <v>11.75</v>
      </c>
      <c r="N65" s="16">
        <f t="shared" si="1"/>
        <v>3.0105000000000007E-2</v>
      </c>
      <c r="O65" s="16">
        <f t="shared" si="2"/>
        <v>3.0795060355593457E-2</v>
      </c>
    </row>
    <row r="66" spans="7:15" x14ac:dyDescent="0.35">
      <c r="G66" s="15">
        <v>12</v>
      </c>
      <c r="H66" s="16">
        <v>3.0120000000000008E-2</v>
      </c>
      <c r="M66" s="15">
        <f t="shared" si="0"/>
        <v>12</v>
      </c>
      <c r="N66" s="16">
        <f t="shared" si="1"/>
        <v>3.0120000000000008E-2</v>
      </c>
      <c r="O66" s="16">
        <f t="shared" si="2"/>
        <v>3.0825062979635765E-2</v>
      </c>
    </row>
    <row r="67" spans="7:15" x14ac:dyDescent="0.35">
      <c r="G67" s="15">
        <v>12.25</v>
      </c>
      <c r="H67" s="16">
        <v>3.0135000000000009E-2</v>
      </c>
      <c r="M67" s="15">
        <f t="shared" si="0"/>
        <v>12.25</v>
      </c>
      <c r="N67" s="16">
        <f t="shared" si="1"/>
        <v>3.0135000000000009E-2</v>
      </c>
      <c r="O67" s="16">
        <f t="shared" si="2"/>
        <v>3.0855065659414042E-2</v>
      </c>
    </row>
    <row r="68" spans="7:15" x14ac:dyDescent="0.35">
      <c r="G68" s="15">
        <v>12.5</v>
      </c>
      <c r="H68" s="16">
        <v>3.015000000000001E-2</v>
      </c>
      <c r="M68" s="15">
        <f t="shared" si="0"/>
        <v>12.5</v>
      </c>
      <c r="N68" s="16">
        <f t="shared" si="1"/>
        <v>3.015000000000001E-2</v>
      </c>
      <c r="O68" s="16">
        <f t="shared" si="2"/>
        <v>3.0885068395097776E-2</v>
      </c>
    </row>
    <row r="69" spans="7:15" x14ac:dyDescent="0.35">
      <c r="G69" s="15">
        <v>12.75</v>
      </c>
      <c r="H69" s="16">
        <v>3.0165000000000011E-2</v>
      </c>
      <c r="M69" s="15">
        <f t="shared" si="0"/>
        <v>12.75</v>
      </c>
      <c r="N69" s="16">
        <f t="shared" si="1"/>
        <v>3.0165000000000011E-2</v>
      </c>
      <c r="O69" s="16">
        <f t="shared" si="2"/>
        <v>3.0915071186557848E-2</v>
      </c>
    </row>
    <row r="70" spans="7:15" x14ac:dyDescent="0.35">
      <c r="G70" s="15">
        <v>13</v>
      </c>
      <c r="H70" s="16">
        <v>3.0180000000000012E-2</v>
      </c>
      <c r="M70" s="15">
        <f t="shared" si="0"/>
        <v>13</v>
      </c>
      <c r="N70" s="16">
        <f t="shared" si="1"/>
        <v>3.0180000000000012E-2</v>
      </c>
      <c r="O70" s="16">
        <f t="shared" si="2"/>
        <v>3.094507403379063E-2</v>
      </c>
    </row>
    <row r="71" spans="7:15" x14ac:dyDescent="0.35">
      <c r="G71" s="15">
        <v>13.25</v>
      </c>
      <c r="H71" s="16">
        <v>3.0195000000000013E-2</v>
      </c>
      <c r="M71" s="15">
        <f t="shared" si="0"/>
        <v>13.25</v>
      </c>
      <c r="N71" s="16">
        <f t="shared" si="1"/>
        <v>3.0195000000000013E-2</v>
      </c>
      <c r="O71" s="16">
        <f t="shared" si="2"/>
        <v>3.0975076936931981E-2</v>
      </c>
    </row>
    <row r="72" spans="7:15" x14ac:dyDescent="0.35">
      <c r="G72" s="15">
        <v>13.5</v>
      </c>
      <c r="H72" s="16">
        <v>3.0210000000000015E-2</v>
      </c>
      <c r="M72" s="15">
        <f t="shared" si="0"/>
        <v>13.5</v>
      </c>
      <c r="N72" s="16">
        <f t="shared" si="1"/>
        <v>3.0210000000000015E-2</v>
      </c>
      <c r="O72" s="16">
        <f t="shared" si="2"/>
        <v>3.1005079895847006E-2</v>
      </c>
    </row>
    <row r="73" spans="7:15" x14ac:dyDescent="0.35">
      <c r="G73" s="15">
        <v>13.75</v>
      </c>
      <c r="H73" s="16">
        <v>3.0225000000000016E-2</v>
      </c>
      <c r="M73" s="15">
        <f t="shared" si="0"/>
        <v>13.75</v>
      </c>
      <c r="N73" s="16">
        <f t="shared" si="1"/>
        <v>3.0225000000000016E-2</v>
      </c>
      <c r="O73" s="16">
        <f t="shared" si="2"/>
        <v>3.1035082910529383E-2</v>
      </c>
    </row>
    <row r="74" spans="7:15" x14ac:dyDescent="0.35">
      <c r="G74" s="15">
        <v>14</v>
      </c>
      <c r="H74" s="16">
        <v>3.0240000000000017E-2</v>
      </c>
      <c r="M74" s="15">
        <f t="shared" si="0"/>
        <v>14</v>
      </c>
      <c r="N74" s="16">
        <f t="shared" si="1"/>
        <v>3.0240000000000017E-2</v>
      </c>
      <c r="O74" s="16">
        <f t="shared" si="2"/>
        <v>3.1065085981126415E-2</v>
      </c>
    </row>
    <row r="75" spans="7:15" x14ac:dyDescent="0.35">
      <c r="G75" s="15">
        <v>14.25</v>
      </c>
      <c r="H75" s="16">
        <v>3.0255000000000018E-2</v>
      </c>
      <c r="M75" s="15">
        <f t="shared" si="0"/>
        <v>14.25</v>
      </c>
      <c r="N75" s="16">
        <f t="shared" si="1"/>
        <v>3.0255000000000018E-2</v>
      </c>
      <c r="O75" s="16">
        <f t="shared" si="2"/>
        <v>3.1095089107491841E-2</v>
      </c>
    </row>
    <row r="76" spans="7:15" x14ac:dyDescent="0.35">
      <c r="G76" s="15">
        <v>14.5</v>
      </c>
      <c r="H76" s="16">
        <v>3.0270000000000016E-2</v>
      </c>
      <c r="M76" s="15">
        <f t="shared" si="0"/>
        <v>14.5</v>
      </c>
      <c r="N76" s="16">
        <f t="shared" si="1"/>
        <v>3.0270000000000016E-2</v>
      </c>
      <c r="O76" s="16">
        <f t="shared" si="2"/>
        <v>3.1125092289622146E-2</v>
      </c>
    </row>
    <row r="77" spans="7:15" x14ac:dyDescent="0.35">
      <c r="G77" s="15">
        <v>14.75</v>
      </c>
      <c r="H77" s="16">
        <v>3.0285000000000013E-2</v>
      </c>
      <c r="M77" s="15">
        <f t="shared" si="0"/>
        <v>14.75</v>
      </c>
      <c r="N77" s="16">
        <f t="shared" si="1"/>
        <v>3.0285000000000013E-2</v>
      </c>
      <c r="O77" s="16">
        <f t="shared" si="2"/>
        <v>3.1155095527669038E-2</v>
      </c>
    </row>
    <row r="78" spans="7:15" x14ac:dyDescent="0.35">
      <c r="G78" s="15">
        <v>15</v>
      </c>
      <c r="H78" s="16">
        <v>3.0300000000000014E-2</v>
      </c>
      <c r="I78" t="s">
        <v>30</v>
      </c>
      <c r="J78" t="s">
        <v>31</v>
      </c>
      <c r="M78" s="15">
        <f t="shared" si="0"/>
        <v>15</v>
      </c>
      <c r="N78" s="16">
        <f t="shared" si="1"/>
        <v>3.0300000000000014E-2</v>
      </c>
      <c r="O78" s="16">
        <f t="shared" si="2"/>
        <v>3.1185098821481804E-2</v>
      </c>
    </row>
    <row r="79" spans="7:15" x14ac:dyDescent="0.35">
      <c r="G79" s="15">
        <v>15.25</v>
      </c>
      <c r="H79" s="16">
        <v>3.0315000000000016E-2</v>
      </c>
      <c r="M79" s="15">
        <f t="shared" si="0"/>
        <v>15.25</v>
      </c>
      <c r="N79" s="16">
        <f t="shared" si="1"/>
        <v>3.0315000000000016E-2</v>
      </c>
      <c r="O79" s="16">
        <f t="shared" si="2"/>
        <v>3.1215102171054634E-2</v>
      </c>
    </row>
    <row r="80" spans="7:15" x14ac:dyDescent="0.35">
      <c r="G80" s="15">
        <v>15.5</v>
      </c>
      <c r="H80" s="16">
        <v>3.0330000000000013E-2</v>
      </c>
      <c r="M80" s="15">
        <f t="shared" si="0"/>
        <v>15.5</v>
      </c>
      <c r="N80" s="16">
        <f t="shared" si="1"/>
        <v>3.0330000000000013E-2</v>
      </c>
      <c r="O80" s="16">
        <f t="shared" si="2"/>
        <v>3.1245105576550039E-2</v>
      </c>
    </row>
    <row r="81" spans="7:15" x14ac:dyDescent="0.35">
      <c r="G81" s="15">
        <v>15.75</v>
      </c>
      <c r="H81" s="16">
        <v>3.0345000000000011E-2</v>
      </c>
      <c r="M81" s="15">
        <f t="shared" si="0"/>
        <v>15.75</v>
      </c>
      <c r="N81" s="16">
        <f t="shared" si="1"/>
        <v>3.0345000000000011E-2</v>
      </c>
      <c r="O81" s="16">
        <f t="shared" si="2"/>
        <v>3.1275109037749368E-2</v>
      </c>
    </row>
    <row r="82" spans="7:15" x14ac:dyDescent="0.35">
      <c r="G82" s="15">
        <v>16</v>
      </c>
      <c r="H82" s="16">
        <v>3.0360000000000012E-2</v>
      </c>
      <c r="M82" s="15">
        <f t="shared" si="0"/>
        <v>16</v>
      </c>
      <c r="N82" s="16">
        <f t="shared" si="1"/>
        <v>3.0360000000000012E-2</v>
      </c>
      <c r="O82" s="16">
        <f t="shared" si="2"/>
        <v>3.1305112554873886E-2</v>
      </c>
    </row>
    <row r="83" spans="7:15" x14ac:dyDescent="0.35">
      <c r="G83" s="15">
        <v>16.25</v>
      </c>
      <c r="H83" s="16">
        <v>3.0375000000000013E-2</v>
      </c>
      <c r="M83" s="15">
        <f t="shared" ref="M83:M138" si="6">G83</f>
        <v>16.25</v>
      </c>
      <c r="N83" s="16">
        <f t="shared" ref="N83:N138" si="7">H83</f>
        <v>3.0375000000000013E-2</v>
      </c>
      <c r="O83" s="16">
        <f t="shared" si="2"/>
        <v>3.1335116127755941E-2</v>
      </c>
    </row>
    <row r="84" spans="7:15" x14ac:dyDescent="0.35">
      <c r="G84" s="15">
        <v>16.5</v>
      </c>
      <c r="H84" s="16">
        <v>3.0390000000000011E-2</v>
      </c>
      <c r="M84" s="15">
        <f t="shared" si="6"/>
        <v>16.5</v>
      </c>
      <c r="N84" s="16">
        <f t="shared" si="7"/>
        <v>3.0390000000000011E-2</v>
      </c>
      <c r="O84" s="16">
        <f t="shared" si="2"/>
        <v>3.1365119756392459E-2</v>
      </c>
    </row>
    <row r="85" spans="7:15" x14ac:dyDescent="0.35">
      <c r="G85" s="15">
        <v>16.75</v>
      </c>
      <c r="H85" s="16">
        <v>3.0405000000000008E-2</v>
      </c>
      <c r="M85" s="15">
        <f t="shared" si="6"/>
        <v>16.75</v>
      </c>
      <c r="N85" s="16">
        <f t="shared" si="7"/>
        <v>3.0405000000000008E-2</v>
      </c>
      <c r="O85" s="16">
        <f t="shared" ref="O85:O138" si="8">ForwardRate($K$16,M84,M85,N84,N85)</f>
        <v>3.1395123440958413E-2</v>
      </c>
    </row>
    <row r="86" spans="7:15" x14ac:dyDescent="0.35">
      <c r="G86" s="15">
        <v>17</v>
      </c>
      <c r="H86" s="16">
        <v>3.042000000000001E-2</v>
      </c>
      <c r="M86" s="15">
        <f t="shared" si="6"/>
        <v>17</v>
      </c>
      <c r="N86" s="16">
        <f t="shared" si="7"/>
        <v>3.042000000000001E-2</v>
      </c>
      <c r="O86" s="16">
        <f t="shared" si="8"/>
        <v>3.1425127181277254E-2</v>
      </c>
    </row>
    <row r="87" spans="7:15" x14ac:dyDescent="0.35">
      <c r="G87" s="15">
        <v>17.25</v>
      </c>
      <c r="H87" s="16">
        <v>3.0435000000000011E-2</v>
      </c>
      <c r="M87" s="15">
        <f t="shared" si="6"/>
        <v>17.25</v>
      </c>
      <c r="N87" s="16">
        <f t="shared" si="7"/>
        <v>3.0435000000000011E-2</v>
      </c>
      <c r="O87" s="16">
        <f t="shared" si="8"/>
        <v>3.1455130977347388E-2</v>
      </c>
    </row>
    <row r="88" spans="7:15" x14ac:dyDescent="0.35">
      <c r="G88" s="15">
        <v>17.5</v>
      </c>
      <c r="H88" s="16">
        <v>3.0450000000000008E-2</v>
      </c>
      <c r="M88" s="15">
        <f t="shared" si="6"/>
        <v>17.5</v>
      </c>
      <c r="N88" s="16">
        <f t="shared" si="7"/>
        <v>3.0450000000000008E-2</v>
      </c>
      <c r="O88" s="16">
        <f t="shared" si="8"/>
        <v>3.148513482934949E-2</v>
      </c>
    </row>
    <row r="89" spans="7:15" x14ac:dyDescent="0.35">
      <c r="G89" s="15">
        <v>17.75</v>
      </c>
      <c r="H89" s="16">
        <v>3.0465000000000006E-2</v>
      </c>
      <c r="M89" s="15">
        <f t="shared" si="6"/>
        <v>17.75</v>
      </c>
      <c r="N89" s="16">
        <f t="shared" si="7"/>
        <v>3.0465000000000006E-2</v>
      </c>
      <c r="O89" s="16">
        <f t="shared" si="8"/>
        <v>3.1515138737102988E-2</v>
      </c>
    </row>
    <row r="90" spans="7:15" x14ac:dyDescent="0.35">
      <c r="G90" s="15">
        <v>18</v>
      </c>
      <c r="H90" s="16">
        <v>3.0480000000000007E-2</v>
      </c>
      <c r="M90" s="15">
        <f t="shared" si="6"/>
        <v>18</v>
      </c>
      <c r="N90" s="16">
        <f t="shared" si="7"/>
        <v>3.0480000000000007E-2</v>
      </c>
      <c r="O90" s="16">
        <f t="shared" si="8"/>
        <v>3.1545142700601339E-2</v>
      </c>
    </row>
    <row r="91" spans="7:15" x14ac:dyDescent="0.35">
      <c r="G91" s="15">
        <v>18.25</v>
      </c>
      <c r="H91" s="16">
        <v>3.0495000000000008E-2</v>
      </c>
      <c r="M91" s="15">
        <f t="shared" si="6"/>
        <v>18.25</v>
      </c>
      <c r="N91" s="16">
        <f t="shared" si="7"/>
        <v>3.0495000000000008E-2</v>
      </c>
      <c r="O91" s="16">
        <f t="shared" si="8"/>
        <v>3.1575146720038243E-2</v>
      </c>
    </row>
    <row r="92" spans="7:15" x14ac:dyDescent="0.35">
      <c r="G92" s="15">
        <v>18.5</v>
      </c>
      <c r="H92" s="16">
        <v>3.0510000000000006E-2</v>
      </c>
      <c r="M92" s="15">
        <f t="shared" si="6"/>
        <v>18.5</v>
      </c>
      <c r="N92" s="16">
        <f t="shared" si="7"/>
        <v>3.0510000000000006E-2</v>
      </c>
      <c r="O92" s="16">
        <f t="shared" si="8"/>
        <v>3.160515079515408E-2</v>
      </c>
    </row>
    <row r="93" spans="7:15" x14ac:dyDescent="0.35">
      <c r="G93" s="15">
        <v>18.75</v>
      </c>
      <c r="H93" s="16">
        <v>3.0525000000000004E-2</v>
      </c>
      <c r="M93" s="15">
        <f t="shared" si="6"/>
        <v>18.75</v>
      </c>
      <c r="N93" s="16">
        <f t="shared" si="7"/>
        <v>3.0525000000000004E-2</v>
      </c>
      <c r="O93" s="16">
        <f t="shared" si="8"/>
        <v>3.1635154926210912E-2</v>
      </c>
    </row>
    <row r="94" spans="7:15" x14ac:dyDescent="0.35">
      <c r="G94" s="15">
        <v>19</v>
      </c>
      <c r="H94" s="16">
        <v>3.0540000000000005E-2</v>
      </c>
      <c r="M94" s="15">
        <f t="shared" si="6"/>
        <v>19</v>
      </c>
      <c r="N94" s="16">
        <f t="shared" si="7"/>
        <v>3.0540000000000005E-2</v>
      </c>
      <c r="O94" s="16">
        <f t="shared" si="8"/>
        <v>3.1665159113010842E-2</v>
      </c>
    </row>
    <row r="95" spans="7:15" x14ac:dyDescent="0.35">
      <c r="G95" s="15">
        <v>19.25</v>
      </c>
      <c r="H95" s="16">
        <v>3.0555000000000006E-2</v>
      </c>
      <c r="M95" s="15">
        <f t="shared" si="6"/>
        <v>19.25</v>
      </c>
      <c r="N95" s="16">
        <f t="shared" si="7"/>
        <v>3.0555000000000006E-2</v>
      </c>
      <c r="O95" s="16">
        <f t="shared" si="8"/>
        <v>3.1695163355551073E-2</v>
      </c>
    </row>
    <row r="96" spans="7:15" x14ac:dyDescent="0.35">
      <c r="G96" s="15">
        <v>19.5</v>
      </c>
      <c r="H96" s="16">
        <v>3.0570000000000003E-2</v>
      </c>
      <c r="M96" s="15">
        <f t="shared" si="6"/>
        <v>19.5</v>
      </c>
      <c r="N96" s="16">
        <f t="shared" si="7"/>
        <v>3.0570000000000003E-2</v>
      </c>
      <c r="O96" s="16">
        <f t="shared" si="8"/>
        <v>3.1725167654034304E-2</v>
      </c>
    </row>
    <row r="97" spans="7:15" x14ac:dyDescent="0.35">
      <c r="G97" s="15">
        <v>19.75</v>
      </c>
      <c r="H97" s="16">
        <v>3.0585000000000001E-2</v>
      </c>
      <c r="M97" s="15">
        <f t="shared" si="6"/>
        <v>19.75</v>
      </c>
      <c r="N97" s="16">
        <f t="shared" si="7"/>
        <v>3.0585000000000001E-2</v>
      </c>
      <c r="O97" s="16">
        <f t="shared" si="8"/>
        <v>3.1755172008257407E-2</v>
      </c>
    </row>
    <row r="98" spans="7:15" x14ac:dyDescent="0.35">
      <c r="G98" s="15">
        <v>20</v>
      </c>
      <c r="H98" s="16">
        <v>3.0600000000000002E-2</v>
      </c>
      <c r="M98" s="15">
        <f t="shared" si="6"/>
        <v>20</v>
      </c>
      <c r="N98" s="16">
        <f t="shared" si="7"/>
        <v>3.0600000000000002E-2</v>
      </c>
      <c r="O98" s="16">
        <f t="shared" si="8"/>
        <v>3.1785176418217091E-2</v>
      </c>
    </row>
    <row r="99" spans="7:15" x14ac:dyDescent="0.35">
      <c r="G99" s="15">
        <v>20.25</v>
      </c>
      <c r="H99" s="16">
        <v>3.0617500000000002E-2</v>
      </c>
      <c r="M99" s="15">
        <f t="shared" si="6"/>
        <v>20.25</v>
      </c>
      <c r="N99" s="16">
        <f t="shared" si="7"/>
        <v>3.0617500000000002E-2</v>
      </c>
      <c r="O99" s="16">
        <f t="shared" si="8"/>
        <v>3.2017746207395906E-2</v>
      </c>
    </row>
    <row r="100" spans="7:15" x14ac:dyDescent="0.35">
      <c r="G100" s="15">
        <v>20.5</v>
      </c>
      <c r="H100" s="16">
        <v>3.0635000000000003E-2</v>
      </c>
      <c r="M100" s="15">
        <f t="shared" si="6"/>
        <v>20.5</v>
      </c>
      <c r="N100" s="16">
        <f t="shared" si="7"/>
        <v>3.0635000000000003E-2</v>
      </c>
      <c r="O100" s="16">
        <f t="shared" si="8"/>
        <v>3.2052752361850616E-2</v>
      </c>
    </row>
    <row r="101" spans="7:15" x14ac:dyDescent="0.35">
      <c r="G101" s="15">
        <v>20.75</v>
      </c>
      <c r="H101" s="16">
        <v>3.0652500000000003E-2</v>
      </c>
      <c r="M101" s="15">
        <f t="shared" si="6"/>
        <v>20.75</v>
      </c>
      <c r="N101" s="16">
        <f t="shared" si="7"/>
        <v>3.0652500000000003E-2</v>
      </c>
      <c r="O101" s="16">
        <f t="shared" si="8"/>
        <v>3.2087758592258007E-2</v>
      </c>
    </row>
    <row r="102" spans="7:15" x14ac:dyDescent="0.35">
      <c r="G102" s="15">
        <v>21</v>
      </c>
      <c r="H102" s="16">
        <v>3.0670000000000003E-2</v>
      </c>
      <c r="M102" s="15">
        <f t="shared" si="6"/>
        <v>21</v>
      </c>
      <c r="N102" s="16">
        <f t="shared" si="7"/>
        <v>3.0670000000000003E-2</v>
      </c>
      <c r="O102" s="16">
        <f t="shared" si="8"/>
        <v>3.2122764898545403E-2</v>
      </c>
    </row>
    <row r="103" spans="7:15" x14ac:dyDescent="0.35">
      <c r="G103" s="15">
        <v>21.25</v>
      </c>
      <c r="H103" s="16">
        <v>3.0687500000000003E-2</v>
      </c>
      <c r="M103" s="15">
        <f t="shared" si="6"/>
        <v>21.25</v>
      </c>
      <c r="N103" s="16">
        <f t="shared" si="7"/>
        <v>3.0687500000000003E-2</v>
      </c>
      <c r="O103" s="16">
        <f t="shared" si="8"/>
        <v>3.2157771280932633E-2</v>
      </c>
    </row>
    <row r="104" spans="7:15" x14ac:dyDescent="0.35">
      <c r="G104" s="15">
        <v>21.5</v>
      </c>
      <c r="H104" s="16">
        <v>3.0705000000000003E-2</v>
      </c>
      <c r="M104" s="15">
        <f t="shared" si="6"/>
        <v>21.5</v>
      </c>
      <c r="N104" s="16">
        <f t="shared" si="7"/>
        <v>3.0705000000000003E-2</v>
      </c>
      <c r="O104" s="16">
        <f t="shared" si="8"/>
        <v>3.21927777391985E-2</v>
      </c>
    </row>
    <row r="105" spans="7:15" x14ac:dyDescent="0.35">
      <c r="G105" s="15">
        <v>21.75</v>
      </c>
      <c r="H105" s="16">
        <v>3.0722500000000003E-2</v>
      </c>
      <c r="M105" s="15">
        <f t="shared" si="6"/>
        <v>21.75</v>
      </c>
      <c r="N105" s="16">
        <f t="shared" si="7"/>
        <v>3.0722500000000003E-2</v>
      </c>
      <c r="O105" s="16">
        <f t="shared" si="8"/>
        <v>3.2227784273415619E-2</v>
      </c>
    </row>
    <row r="106" spans="7:15" x14ac:dyDescent="0.35">
      <c r="G106" s="15">
        <v>22</v>
      </c>
      <c r="H106" s="16">
        <v>3.0740000000000003E-2</v>
      </c>
      <c r="M106" s="15">
        <f t="shared" si="6"/>
        <v>22</v>
      </c>
      <c r="N106" s="16">
        <f t="shared" si="7"/>
        <v>3.0740000000000003E-2</v>
      </c>
      <c r="O106" s="16">
        <f t="shared" si="8"/>
        <v>3.2262790883504998E-2</v>
      </c>
    </row>
    <row r="107" spans="7:15" x14ac:dyDescent="0.35">
      <c r="G107" s="15">
        <v>22.25</v>
      </c>
      <c r="H107" s="16">
        <v>3.0757500000000004E-2</v>
      </c>
      <c r="M107" s="15">
        <f t="shared" si="6"/>
        <v>22.25</v>
      </c>
      <c r="N107" s="16">
        <f t="shared" si="7"/>
        <v>3.0757500000000004E-2</v>
      </c>
      <c r="O107" s="16">
        <f t="shared" si="8"/>
        <v>3.2297797569700089E-2</v>
      </c>
    </row>
    <row r="108" spans="7:15" x14ac:dyDescent="0.35">
      <c r="G108" s="15">
        <v>22.5</v>
      </c>
      <c r="H108" s="16">
        <v>3.0775000000000004E-2</v>
      </c>
      <c r="I108" t="s">
        <v>33</v>
      </c>
      <c r="J108" t="s">
        <v>32</v>
      </c>
      <c r="M108" s="15">
        <f t="shared" si="6"/>
        <v>22.5</v>
      </c>
      <c r="N108" s="16">
        <f t="shared" si="7"/>
        <v>3.0775000000000004E-2</v>
      </c>
      <c r="O108" s="16">
        <f t="shared" si="8"/>
        <v>3.2332804331766378E-2</v>
      </c>
    </row>
    <row r="109" spans="7:15" x14ac:dyDescent="0.35">
      <c r="G109" s="15">
        <v>22.75</v>
      </c>
      <c r="H109" s="16">
        <v>3.0792500000000004E-2</v>
      </c>
      <c r="M109" s="15">
        <f t="shared" si="6"/>
        <v>22.75</v>
      </c>
      <c r="N109" s="16">
        <f t="shared" si="7"/>
        <v>3.0792500000000004E-2</v>
      </c>
      <c r="O109" s="16">
        <f t="shared" si="8"/>
        <v>3.2367811169781754E-2</v>
      </c>
    </row>
    <row r="110" spans="7:15" x14ac:dyDescent="0.35">
      <c r="G110" s="15">
        <v>23</v>
      </c>
      <c r="H110" s="16">
        <v>3.0810000000000004E-2</v>
      </c>
      <c r="M110" s="15">
        <f t="shared" si="6"/>
        <v>23</v>
      </c>
      <c r="N110" s="16">
        <f t="shared" si="7"/>
        <v>3.0810000000000004E-2</v>
      </c>
      <c r="O110" s="16">
        <f t="shared" si="8"/>
        <v>3.2402818083663139E-2</v>
      </c>
    </row>
    <row r="111" spans="7:15" x14ac:dyDescent="0.35">
      <c r="G111" s="15">
        <v>23.25</v>
      </c>
      <c r="H111" s="16">
        <v>3.0827500000000004E-2</v>
      </c>
      <c r="M111" s="15">
        <f t="shared" si="6"/>
        <v>23.25</v>
      </c>
      <c r="N111" s="16">
        <f t="shared" si="7"/>
        <v>3.0827500000000004E-2</v>
      </c>
      <c r="O111" s="16">
        <f t="shared" si="8"/>
        <v>3.2437825073654641E-2</v>
      </c>
    </row>
    <row r="112" spans="7:15" x14ac:dyDescent="0.35">
      <c r="G112" s="15">
        <v>23.5</v>
      </c>
      <c r="H112" s="16">
        <v>3.0845000000000004E-2</v>
      </c>
      <c r="M112" s="15">
        <f t="shared" si="6"/>
        <v>23.5</v>
      </c>
      <c r="N112" s="16">
        <f t="shared" si="7"/>
        <v>3.0845000000000004E-2</v>
      </c>
      <c r="O112" s="16">
        <f t="shared" si="8"/>
        <v>3.2472832139511645E-2</v>
      </c>
    </row>
    <row r="113" spans="7:15" x14ac:dyDescent="0.35">
      <c r="G113" s="15">
        <v>23.75</v>
      </c>
      <c r="H113" s="16">
        <v>3.0862500000000005E-2</v>
      </c>
      <c r="M113" s="15">
        <f t="shared" si="6"/>
        <v>23.75</v>
      </c>
      <c r="N113" s="16">
        <f t="shared" si="7"/>
        <v>3.0862500000000005E-2</v>
      </c>
      <c r="O113" s="16">
        <f t="shared" si="8"/>
        <v>3.2507839281230987E-2</v>
      </c>
    </row>
    <row r="114" spans="7:15" x14ac:dyDescent="0.35">
      <c r="G114" s="15">
        <v>24</v>
      </c>
      <c r="H114" s="16">
        <v>3.0880000000000005E-2</v>
      </c>
      <c r="M114" s="15">
        <f t="shared" si="6"/>
        <v>24</v>
      </c>
      <c r="N114" s="16">
        <f t="shared" si="7"/>
        <v>3.0880000000000005E-2</v>
      </c>
      <c r="O114" s="16">
        <f t="shared" si="8"/>
        <v>3.2542846499062E-2</v>
      </c>
    </row>
    <row r="115" spans="7:15" x14ac:dyDescent="0.35">
      <c r="G115" s="15">
        <v>24.25</v>
      </c>
      <c r="H115" s="16">
        <v>3.0897500000000005E-2</v>
      </c>
      <c r="M115" s="15">
        <f t="shared" si="6"/>
        <v>24.25</v>
      </c>
      <c r="N115" s="16">
        <f t="shared" si="7"/>
        <v>3.0897500000000005E-2</v>
      </c>
      <c r="O115" s="16">
        <f t="shared" si="8"/>
        <v>3.257785379275515E-2</v>
      </c>
    </row>
    <row r="116" spans="7:15" x14ac:dyDescent="0.35">
      <c r="G116" s="15">
        <v>24.5</v>
      </c>
      <c r="H116" s="16">
        <v>3.0915000000000005E-2</v>
      </c>
      <c r="M116" s="15">
        <f t="shared" si="6"/>
        <v>24.5</v>
      </c>
      <c r="N116" s="16">
        <f t="shared" si="7"/>
        <v>3.0915000000000005E-2</v>
      </c>
      <c r="O116" s="16">
        <f t="shared" si="8"/>
        <v>3.2612861162392065E-2</v>
      </c>
    </row>
    <row r="117" spans="7:15" x14ac:dyDescent="0.35">
      <c r="G117" s="15">
        <v>24.75</v>
      </c>
      <c r="H117" s="16">
        <v>3.0932500000000005E-2</v>
      </c>
      <c r="M117" s="15">
        <f t="shared" si="6"/>
        <v>24.75</v>
      </c>
      <c r="N117" s="16">
        <f t="shared" si="7"/>
        <v>3.0932500000000005E-2</v>
      </c>
      <c r="O117" s="16">
        <f t="shared" si="8"/>
        <v>3.2647868607883844E-2</v>
      </c>
    </row>
    <row r="118" spans="7:15" x14ac:dyDescent="0.35">
      <c r="G118" s="15">
        <v>25</v>
      </c>
      <c r="H118" s="16">
        <v>3.0950000000000005E-2</v>
      </c>
      <c r="M118" s="15">
        <f t="shared" si="6"/>
        <v>25</v>
      </c>
      <c r="N118" s="16">
        <f t="shared" si="7"/>
        <v>3.0950000000000005E-2</v>
      </c>
      <c r="O118" s="16">
        <f t="shared" si="8"/>
        <v>3.2682876129494283E-2</v>
      </c>
    </row>
    <row r="119" spans="7:15" x14ac:dyDescent="0.35">
      <c r="G119" s="15">
        <v>25.25</v>
      </c>
      <c r="H119" s="16">
        <v>3.0967500000000005E-2</v>
      </c>
      <c r="M119" s="15">
        <f t="shared" si="6"/>
        <v>25.25</v>
      </c>
      <c r="N119" s="16">
        <f t="shared" si="7"/>
        <v>3.0967500000000005E-2</v>
      </c>
      <c r="O119" s="16">
        <f t="shared" si="8"/>
        <v>3.271788372695901E-2</v>
      </c>
    </row>
    <row r="120" spans="7:15" x14ac:dyDescent="0.35">
      <c r="G120" s="15">
        <v>25.5</v>
      </c>
      <c r="H120" s="16">
        <v>3.0985000000000006E-2</v>
      </c>
      <c r="M120" s="15">
        <f t="shared" si="6"/>
        <v>25.5</v>
      </c>
      <c r="N120" s="16">
        <f t="shared" si="7"/>
        <v>3.0985000000000006E-2</v>
      </c>
      <c r="O120" s="16">
        <f t="shared" si="8"/>
        <v>3.2752891400364866E-2</v>
      </c>
    </row>
    <row r="121" spans="7:15" x14ac:dyDescent="0.35">
      <c r="G121" s="15">
        <v>25.75</v>
      </c>
      <c r="H121" s="16">
        <v>3.1002500000000006E-2</v>
      </c>
      <c r="M121" s="15">
        <f t="shared" si="6"/>
        <v>25.75</v>
      </c>
      <c r="N121" s="16">
        <f t="shared" si="7"/>
        <v>3.1002500000000006E-2</v>
      </c>
      <c r="O121" s="16">
        <f t="shared" si="8"/>
        <v>3.2787899149620631E-2</v>
      </c>
    </row>
    <row r="122" spans="7:15" x14ac:dyDescent="0.35">
      <c r="G122" s="15">
        <v>26</v>
      </c>
      <c r="H122" s="16">
        <v>3.1020000000000006E-2</v>
      </c>
      <c r="M122" s="15">
        <f t="shared" si="6"/>
        <v>26</v>
      </c>
      <c r="N122" s="16">
        <f t="shared" si="7"/>
        <v>3.1020000000000006E-2</v>
      </c>
      <c r="O122" s="16">
        <f t="shared" si="8"/>
        <v>3.2822906974997415E-2</v>
      </c>
    </row>
    <row r="123" spans="7:15" x14ac:dyDescent="0.35">
      <c r="G123" s="15">
        <v>26.25</v>
      </c>
      <c r="H123" s="16">
        <v>3.1037500000000006E-2</v>
      </c>
      <c r="M123" s="15">
        <f t="shared" si="6"/>
        <v>26.25</v>
      </c>
      <c r="N123" s="16">
        <f t="shared" si="7"/>
        <v>3.1037500000000006E-2</v>
      </c>
      <c r="O123" s="16">
        <f t="shared" si="8"/>
        <v>3.2857914876224192E-2</v>
      </c>
    </row>
    <row r="124" spans="7:15" x14ac:dyDescent="0.35">
      <c r="G124" s="15">
        <v>26.5</v>
      </c>
      <c r="H124" s="16">
        <v>3.1055000000000006E-2</v>
      </c>
      <c r="M124" s="15">
        <f t="shared" si="6"/>
        <v>26.5</v>
      </c>
      <c r="N124" s="16">
        <f t="shared" si="7"/>
        <v>3.1055000000000006E-2</v>
      </c>
      <c r="O124" s="16">
        <f t="shared" si="8"/>
        <v>3.2892922853389059E-2</v>
      </c>
    </row>
    <row r="125" spans="7:15" x14ac:dyDescent="0.35">
      <c r="G125" s="15">
        <v>26.75</v>
      </c>
      <c r="H125" s="16">
        <v>3.1072500000000006E-2</v>
      </c>
      <c r="M125" s="15">
        <f t="shared" si="6"/>
        <v>26.75</v>
      </c>
      <c r="N125" s="16">
        <f t="shared" si="7"/>
        <v>3.1072500000000006E-2</v>
      </c>
      <c r="O125" s="16">
        <f t="shared" si="8"/>
        <v>3.2927930906397111E-2</v>
      </c>
    </row>
    <row r="126" spans="7:15" x14ac:dyDescent="0.35">
      <c r="G126" s="15">
        <v>27</v>
      </c>
      <c r="H126" s="16">
        <v>3.1090000000000007E-2</v>
      </c>
      <c r="M126" s="15">
        <f t="shared" si="6"/>
        <v>27</v>
      </c>
      <c r="N126" s="16">
        <f t="shared" si="7"/>
        <v>3.1090000000000007E-2</v>
      </c>
      <c r="O126" s="16">
        <f t="shared" si="8"/>
        <v>3.2962939035530818E-2</v>
      </c>
    </row>
    <row r="127" spans="7:15" x14ac:dyDescent="0.35">
      <c r="G127" s="15">
        <v>27.25</v>
      </c>
      <c r="H127" s="16">
        <v>3.1107500000000007E-2</v>
      </c>
      <c r="M127" s="15">
        <f t="shared" si="6"/>
        <v>27.25</v>
      </c>
      <c r="N127" s="16">
        <f t="shared" si="7"/>
        <v>3.1107500000000007E-2</v>
      </c>
      <c r="O127" s="16">
        <f t="shared" si="8"/>
        <v>3.2997947240508543E-2</v>
      </c>
    </row>
    <row r="128" spans="7:15" x14ac:dyDescent="0.35">
      <c r="G128" s="15">
        <v>27.5</v>
      </c>
      <c r="H128" s="16">
        <v>3.1125000000000007E-2</v>
      </c>
      <c r="M128" s="15">
        <f t="shared" si="6"/>
        <v>27.5</v>
      </c>
      <c r="N128" s="16">
        <f t="shared" si="7"/>
        <v>3.1125000000000007E-2</v>
      </c>
      <c r="O128" s="16">
        <f t="shared" si="8"/>
        <v>3.3032955521420673E-2</v>
      </c>
    </row>
    <row r="129" spans="7:15" x14ac:dyDescent="0.35">
      <c r="G129" s="15">
        <v>27.75</v>
      </c>
      <c r="H129" s="16">
        <v>3.1142500000000007E-2</v>
      </c>
      <c r="M129" s="15">
        <f t="shared" si="6"/>
        <v>27.75</v>
      </c>
      <c r="N129" s="16">
        <f t="shared" si="7"/>
        <v>3.1142500000000007E-2</v>
      </c>
      <c r="O129" s="16">
        <f t="shared" si="8"/>
        <v>3.306796387817152E-2</v>
      </c>
    </row>
    <row r="130" spans="7:15" x14ac:dyDescent="0.35">
      <c r="G130" s="15">
        <v>28</v>
      </c>
      <c r="H130" s="16">
        <v>3.1160000000000007E-2</v>
      </c>
      <c r="M130" s="15">
        <f t="shared" si="6"/>
        <v>28</v>
      </c>
      <c r="N130" s="16">
        <f t="shared" si="7"/>
        <v>3.1160000000000007E-2</v>
      </c>
      <c r="O130" s="16">
        <f t="shared" si="8"/>
        <v>3.3102972311051776E-2</v>
      </c>
    </row>
    <row r="131" spans="7:15" x14ac:dyDescent="0.35">
      <c r="G131" s="15">
        <v>28.25</v>
      </c>
      <c r="H131" s="16">
        <v>3.1177500000000007E-2</v>
      </c>
      <c r="M131" s="15">
        <f t="shared" si="6"/>
        <v>28.25</v>
      </c>
      <c r="N131" s="16">
        <f t="shared" si="7"/>
        <v>3.1177500000000007E-2</v>
      </c>
      <c r="O131" s="16">
        <f t="shared" si="8"/>
        <v>3.3137980819768882E-2</v>
      </c>
    </row>
    <row r="132" spans="7:15" x14ac:dyDescent="0.35">
      <c r="G132" s="15">
        <v>28.5</v>
      </c>
      <c r="H132" s="16">
        <v>3.1195000000000007E-2</v>
      </c>
      <c r="M132" s="15">
        <f t="shared" si="6"/>
        <v>28.5</v>
      </c>
      <c r="N132" s="16">
        <f t="shared" si="7"/>
        <v>3.1195000000000007E-2</v>
      </c>
      <c r="O132" s="16">
        <f t="shared" si="8"/>
        <v>3.3172989404419678E-2</v>
      </c>
    </row>
    <row r="133" spans="7:15" x14ac:dyDescent="0.35">
      <c r="G133" s="15">
        <v>28.75</v>
      </c>
      <c r="H133" s="16">
        <v>3.1212500000000008E-2</v>
      </c>
      <c r="M133" s="15">
        <f t="shared" si="6"/>
        <v>28.75</v>
      </c>
      <c r="N133" s="16">
        <f t="shared" si="7"/>
        <v>3.1212500000000008E-2</v>
      </c>
      <c r="O133" s="16">
        <f t="shared" si="8"/>
        <v>3.3207998064900511E-2</v>
      </c>
    </row>
    <row r="134" spans="7:15" x14ac:dyDescent="0.35">
      <c r="G134" s="15">
        <v>29</v>
      </c>
      <c r="H134" s="16">
        <v>3.1230000000000008E-2</v>
      </c>
      <c r="M134" s="15">
        <f t="shared" si="6"/>
        <v>29</v>
      </c>
      <c r="N134" s="16">
        <f t="shared" si="7"/>
        <v>3.1230000000000008E-2</v>
      </c>
      <c r="O134" s="16">
        <f t="shared" si="8"/>
        <v>3.3243006801518045E-2</v>
      </c>
    </row>
    <row r="135" spans="7:15" x14ac:dyDescent="0.35">
      <c r="G135" s="15">
        <v>29.25</v>
      </c>
      <c r="H135" s="16">
        <v>3.1247500000000004E-2</v>
      </c>
      <c r="M135" s="15">
        <f t="shared" si="6"/>
        <v>29.25</v>
      </c>
      <c r="N135" s="16">
        <f t="shared" si="7"/>
        <v>3.1247500000000004E-2</v>
      </c>
      <c r="O135" s="16">
        <f t="shared" si="8"/>
        <v>3.3278015613964165E-2</v>
      </c>
    </row>
    <row r="136" spans="7:15" x14ac:dyDescent="0.35">
      <c r="G136" s="15">
        <v>29.5</v>
      </c>
      <c r="H136" s="16">
        <v>3.1265000000000001E-2</v>
      </c>
      <c r="M136" s="15">
        <f t="shared" si="6"/>
        <v>29.5</v>
      </c>
      <c r="N136" s="16">
        <f t="shared" si="7"/>
        <v>3.1265000000000001E-2</v>
      </c>
      <c r="O136" s="16">
        <f t="shared" si="8"/>
        <v>3.3313024502342289E-2</v>
      </c>
    </row>
    <row r="137" spans="7:15" x14ac:dyDescent="0.35">
      <c r="G137" s="15">
        <v>29.75</v>
      </c>
      <c r="H137" s="16">
        <v>3.1282500000000005E-2</v>
      </c>
      <c r="M137" s="15">
        <f t="shared" si="6"/>
        <v>29.75</v>
      </c>
      <c r="N137" s="16">
        <f t="shared" si="7"/>
        <v>3.1282500000000005E-2</v>
      </c>
      <c r="O137" s="16">
        <f t="shared" si="8"/>
        <v>3.3348033466544358E-2</v>
      </c>
    </row>
    <row r="138" spans="7:15" x14ac:dyDescent="0.35">
      <c r="G138" s="15">
        <v>30</v>
      </c>
      <c r="H138" s="16">
        <v>3.1300000000000001E-2</v>
      </c>
      <c r="I138" t="s">
        <v>34</v>
      </c>
      <c r="J138" t="s">
        <v>35</v>
      </c>
      <c r="M138" s="15">
        <f t="shared" si="6"/>
        <v>30</v>
      </c>
      <c r="N138" s="16">
        <f t="shared" si="7"/>
        <v>3.1300000000000001E-2</v>
      </c>
      <c r="O138" s="16">
        <f t="shared" si="8"/>
        <v>3.3383042506886451E-2</v>
      </c>
    </row>
  </sheetData>
  <mergeCells count="6">
    <mergeCell ref="X18:Y18"/>
    <mergeCell ref="A1:A2"/>
    <mergeCell ref="B1:P2"/>
    <mergeCell ref="B3:P3"/>
    <mergeCell ref="B4:P4"/>
    <mergeCell ref="B5:P5"/>
  </mergeCells>
  <conditionalFormatting sqref="G19:H108">
    <cfRule type="cellIs" dxfId="5" priority="6" operator="equal">
      <formula>#N/A</formula>
    </cfRule>
  </conditionalFormatting>
  <conditionalFormatting sqref="G109:H138">
    <cfRule type="cellIs" dxfId="4" priority="5" operator="equal">
      <formula>#N/A</formula>
    </cfRule>
  </conditionalFormatting>
  <conditionalFormatting sqref="M19:N108">
    <cfRule type="cellIs" dxfId="3" priority="4" operator="equal">
      <formula>#N/A</formula>
    </cfRule>
  </conditionalFormatting>
  <conditionalFormatting sqref="M109:N138">
    <cfRule type="cellIs" dxfId="2" priority="3" operator="equal">
      <formula>#N/A</formula>
    </cfRule>
  </conditionalFormatting>
  <conditionalFormatting sqref="O19:O108">
    <cfRule type="cellIs" dxfId="1" priority="2" operator="equal">
      <formula>#N/A</formula>
    </cfRule>
  </conditionalFormatting>
  <conditionalFormatting sqref="O109:O138">
    <cfRule type="cellIs" dxfId="0" priority="1" operator="equal">
      <formula>#N/A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Homework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dcterms:created xsi:type="dcterms:W3CDTF">2006-09-16T00:00:00Z</dcterms:created>
  <dcterms:modified xsi:type="dcterms:W3CDTF">2018-05-15T09:28:06Z</dcterms:modified>
</cp:coreProperties>
</file>