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_project\VBAAssignmentSolution\Level2_BenjaminLiu\"/>
    </mc:Choice>
  </mc:AlternateContent>
  <xr:revisionPtr revIDLastSave="0" documentId="13_ncr:1_{1D8C013A-6A0A-43C5-8592-5089DF2E6EA8}" xr6:coauthVersionLast="33" xr6:coauthVersionMax="33" xr10:uidLastSave="{00000000-0000-0000-0000-000000000000}"/>
  <bookViews>
    <workbookView xWindow="0" yWindow="0" windowWidth="19200" windowHeight="7060" xr2:uid="{00000000-000D-0000-FFFF-FFFF00000000}"/>
  </bookViews>
  <sheets>
    <sheet name="Homework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O27" i="1" l="1"/>
  <c r="I19" i="1" a="1"/>
  <c r="N14" i="1"/>
  <c r="N15" i="1"/>
  <c r="I19" i="1" l="1"/>
  <c r="I21" i="1"/>
  <c r="I23" i="1"/>
  <c r="I25" i="1"/>
  <c r="I27" i="1"/>
  <c r="I29" i="1"/>
  <c r="I31" i="1"/>
  <c r="I33" i="1"/>
  <c r="I35" i="1"/>
  <c r="I37" i="1"/>
  <c r="I39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1" i="1"/>
  <c r="I83" i="1"/>
  <c r="I85" i="1"/>
  <c r="I87" i="1"/>
  <c r="I89" i="1"/>
  <c r="I91" i="1"/>
  <c r="I93" i="1"/>
  <c r="I95" i="1"/>
  <c r="I97" i="1"/>
  <c r="I99" i="1"/>
  <c r="I101" i="1"/>
  <c r="I103" i="1"/>
  <c r="I105" i="1"/>
  <c r="I107" i="1"/>
  <c r="I109" i="1"/>
  <c r="I111" i="1"/>
  <c r="I113" i="1"/>
  <c r="I115" i="1"/>
  <c r="I117" i="1"/>
  <c r="I119" i="1"/>
  <c r="I121" i="1"/>
  <c r="I123" i="1"/>
  <c r="I125" i="1"/>
  <c r="I127" i="1"/>
  <c r="I129" i="1"/>
  <c r="I131" i="1"/>
  <c r="I133" i="1"/>
  <c r="I135" i="1"/>
  <c r="I13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51" i="1"/>
  <c r="J53" i="1"/>
  <c r="J55" i="1"/>
  <c r="J57" i="1"/>
  <c r="J59" i="1"/>
  <c r="J61" i="1"/>
  <c r="J63" i="1"/>
  <c r="J65" i="1"/>
  <c r="J67" i="1"/>
  <c r="I20" i="1"/>
  <c r="I22" i="1"/>
  <c r="I24" i="1"/>
  <c r="I26" i="1"/>
  <c r="I28" i="1"/>
  <c r="I30" i="1"/>
  <c r="I32" i="1"/>
  <c r="I34" i="1"/>
  <c r="I36" i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I66" i="1"/>
  <c r="I68" i="1"/>
  <c r="I70" i="1"/>
  <c r="I72" i="1"/>
  <c r="I74" i="1"/>
  <c r="I76" i="1"/>
  <c r="I78" i="1"/>
  <c r="I80" i="1"/>
  <c r="I82" i="1"/>
  <c r="I84" i="1"/>
  <c r="I86" i="1"/>
  <c r="I88" i="1"/>
  <c r="I90" i="1"/>
  <c r="I92" i="1"/>
  <c r="I94" i="1"/>
  <c r="I96" i="1"/>
  <c r="I98" i="1"/>
  <c r="I100" i="1"/>
  <c r="I102" i="1"/>
  <c r="I104" i="1"/>
  <c r="I106" i="1"/>
  <c r="I108" i="1"/>
  <c r="I110" i="1"/>
  <c r="I112" i="1"/>
  <c r="I114" i="1"/>
  <c r="I116" i="1"/>
  <c r="I118" i="1"/>
  <c r="I120" i="1"/>
  <c r="I122" i="1"/>
  <c r="I124" i="1"/>
  <c r="I126" i="1"/>
  <c r="I128" i="1"/>
  <c r="I130" i="1"/>
  <c r="I132" i="1"/>
  <c r="I134" i="1"/>
  <c r="I136" i="1"/>
  <c r="I138" i="1"/>
  <c r="J24" i="1"/>
  <c r="J32" i="1"/>
  <c r="J40" i="1"/>
  <c r="J48" i="1"/>
  <c r="J56" i="1"/>
  <c r="J64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26" i="1"/>
  <c r="J34" i="1"/>
  <c r="J42" i="1"/>
  <c r="J50" i="1"/>
  <c r="J58" i="1"/>
  <c r="J66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20" i="1"/>
  <c r="J28" i="1"/>
  <c r="J36" i="1"/>
  <c r="J44" i="1"/>
  <c r="J52" i="1"/>
  <c r="J60" i="1"/>
  <c r="J68" i="1"/>
  <c r="J72" i="1"/>
  <c r="J76" i="1"/>
  <c r="J80" i="1"/>
  <c r="J84" i="1"/>
  <c r="J88" i="1"/>
  <c r="J92" i="1"/>
  <c r="J96" i="1"/>
  <c r="J100" i="1"/>
  <c r="J104" i="1"/>
  <c r="J108" i="1"/>
  <c r="J112" i="1"/>
  <c r="J116" i="1"/>
  <c r="J120" i="1"/>
  <c r="J124" i="1"/>
  <c r="J128" i="1"/>
  <c r="J132" i="1"/>
  <c r="J136" i="1"/>
  <c r="J22" i="1"/>
  <c r="J30" i="1"/>
  <c r="J38" i="1"/>
  <c r="J46" i="1"/>
  <c r="J54" i="1"/>
  <c r="J62" i="1"/>
  <c r="J69" i="1"/>
  <c r="J73" i="1"/>
  <c r="J77" i="1"/>
  <c r="J81" i="1"/>
  <c r="J85" i="1"/>
  <c r="J89" i="1"/>
  <c r="J93" i="1"/>
  <c r="J97" i="1"/>
  <c r="J109" i="1"/>
  <c r="J125" i="1"/>
  <c r="J113" i="1"/>
  <c r="J129" i="1"/>
  <c r="J101" i="1"/>
  <c r="J117" i="1"/>
  <c r="J133" i="1"/>
  <c r="J105" i="1"/>
  <c r="J121" i="1"/>
  <c r="J137" i="1"/>
  <c r="I11" i="1"/>
  <c r="P30" i="1" s="1"/>
  <c r="G14" i="1"/>
  <c r="E29" i="1" l="1"/>
  <c r="E28" i="1"/>
  <c r="E27" i="1"/>
  <c r="E26" i="1"/>
  <c r="E25" i="1"/>
  <c r="E24" i="1"/>
  <c r="E23" i="1"/>
  <c r="E22" i="1"/>
  <c r="E21" i="1"/>
  <c r="E20" i="1"/>
  <c r="E19" i="1"/>
  <c r="D29" i="1"/>
  <c r="D28" i="1"/>
  <c r="D27" i="1"/>
  <c r="D26" i="1"/>
  <c r="D25" i="1"/>
  <c r="D24" i="1"/>
  <c r="D23" i="1"/>
  <c r="D22" i="1"/>
  <c r="D21" i="1"/>
  <c r="D20" i="1"/>
  <c r="D19" i="1"/>
  <c r="N31" i="1" a="1"/>
  <c r="G19" i="1" a="1"/>
  <c r="N50" i="1" l="1"/>
  <c r="N34" i="1"/>
  <c r="N37" i="1"/>
  <c r="N40" i="1"/>
  <c r="N43" i="1"/>
  <c r="N45" i="1"/>
  <c r="N32" i="1"/>
  <c r="N38" i="1"/>
  <c r="N47" i="1"/>
  <c r="N46" i="1"/>
  <c r="N49" i="1"/>
  <c r="N33" i="1"/>
  <c r="N36" i="1"/>
  <c r="N39" i="1"/>
  <c r="N42" i="1"/>
  <c r="N48" i="1"/>
  <c r="N35" i="1"/>
  <c r="N41" i="1"/>
  <c r="N44" i="1"/>
  <c r="N31" i="1"/>
  <c r="O31" i="1"/>
  <c r="P31" i="1" s="1"/>
  <c r="O39" i="1"/>
  <c r="O47" i="1"/>
  <c r="O32" i="1"/>
  <c r="O34" i="1"/>
  <c r="P34" i="1" s="1"/>
  <c r="O33" i="1"/>
  <c r="O41" i="1"/>
  <c r="O49" i="1"/>
  <c r="O36" i="1"/>
  <c r="O38" i="1"/>
  <c r="O40" i="1"/>
  <c r="O42" i="1"/>
  <c r="P42" i="1" s="1"/>
  <c r="O35" i="1"/>
  <c r="P35" i="1" s="1"/>
  <c r="O43" i="1"/>
  <c r="O45" i="1"/>
  <c r="O37" i="1"/>
  <c r="O46" i="1"/>
  <c r="O50" i="1"/>
  <c r="O44" i="1"/>
  <c r="P44" i="1" s="1"/>
  <c r="O48" i="1"/>
  <c r="H19" i="1"/>
  <c r="H27" i="1"/>
  <c r="H35" i="1"/>
  <c r="H43" i="1"/>
  <c r="H51" i="1"/>
  <c r="H59" i="1"/>
  <c r="H67" i="1"/>
  <c r="H75" i="1"/>
  <c r="H83" i="1"/>
  <c r="H91" i="1"/>
  <c r="H99" i="1"/>
  <c r="H107" i="1"/>
  <c r="H115" i="1"/>
  <c r="H123" i="1"/>
  <c r="H131" i="1"/>
  <c r="H20" i="1"/>
  <c r="H28" i="1"/>
  <c r="H36" i="1"/>
  <c r="H44" i="1"/>
  <c r="H52" i="1"/>
  <c r="H60" i="1"/>
  <c r="H68" i="1"/>
  <c r="G26" i="1"/>
  <c r="G34" i="1"/>
  <c r="G42" i="1"/>
  <c r="G50" i="1"/>
  <c r="G58" i="1"/>
  <c r="G66" i="1"/>
  <c r="G74" i="1"/>
  <c r="G82" i="1"/>
  <c r="G90" i="1"/>
  <c r="G98" i="1"/>
  <c r="G106" i="1"/>
  <c r="G114" i="1"/>
  <c r="G122" i="1"/>
  <c r="G130" i="1"/>
  <c r="G138" i="1"/>
  <c r="G43" i="1"/>
  <c r="H72" i="1"/>
  <c r="H88" i="1"/>
  <c r="H104" i="1"/>
  <c r="H120" i="1"/>
  <c r="H136" i="1"/>
  <c r="G71" i="1"/>
  <c r="G111" i="1"/>
  <c r="G37" i="1"/>
  <c r="G69" i="1"/>
  <c r="G85" i="1"/>
  <c r="G101" i="1"/>
  <c r="G117" i="1"/>
  <c r="G133" i="1"/>
  <c r="G107" i="1"/>
  <c r="G31" i="1"/>
  <c r="G63" i="1"/>
  <c r="H82" i="1"/>
  <c r="H98" i="1"/>
  <c r="H114" i="1"/>
  <c r="H130" i="1"/>
  <c r="G41" i="1"/>
  <c r="G103" i="1"/>
  <c r="H31" i="1"/>
  <c r="H39" i="1"/>
  <c r="H55" i="1"/>
  <c r="H71" i="1"/>
  <c r="H79" i="1"/>
  <c r="H95" i="1"/>
  <c r="H111" i="1"/>
  <c r="H127" i="1"/>
  <c r="H24" i="1"/>
  <c r="H40" i="1"/>
  <c r="H56" i="1"/>
  <c r="G22" i="1"/>
  <c r="G38" i="1"/>
  <c r="G46" i="1"/>
  <c r="G62" i="1"/>
  <c r="G78" i="1"/>
  <c r="G94" i="1"/>
  <c r="G110" i="1"/>
  <c r="G126" i="1"/>
  <c r="G27" i="1"/>
  <c r="H80" i="1"/>
  <c r="H112" i="1"/>
  <c r="G33" i="1"/>
  <c r="G91" i="1"/>
  <c r="G53" i="1"/>
  <c r="H21" i="1"/>
  <c r="H29" i="1"/>
  <c r="H37" i="1"/>
  <c r="H45" i="1"/>
  <c r="H53" i="1"/>
  <c r="H61" i="1"/>
  <c r="H69" i="1"/>
  <c r="H77" i="1"/>
  <c r="H85" i="1"/>
  <c r="H93" i="1"/>
  <c r="H101" i="1"/>
  <c r="H109" i="1"/>
  <c r="H117" i="1"/>
  <c r="H125" i="1"/>
  <c r="H133" i="1"/>
  <c r="H22" i="1"/>
  <c r="H30" i="1"/>
  <c r="H38" i="1"/>
  <c r="H46" i="1"/>
  <c r="H54" i="1"/>
  <c r="H62" i="1"/>
  <c r="G20" i="1"/>
  <c r="G28" i="1"/>
  <c r="G36" i="1"/>
  <c r="G44" i="1"/>
  <c r="G52" i="1"/>
  <c r="G60" i="1"/>
  <c r="G68" i="1"/>
  <c r="G76" i="1"/>
  <c r="G84" i="1"/>
  <c r="G92" i="1"/>
  <c r="G100" i="1"/>
  <c r="G108" i="1"/>
  <c r="G116" i="1"/>
  <c r="G124" i="1"/>
  <c r="G132" i="1"/>
  <c r="G19" i="1"/>
  <c r="G51" i="1"/>
  <c r="H76" i="1"/>
  <c r="H92" i="1"/>
  <c r="H108" i="1"/>
  <c r="H124" i="1"/>
  <c r="G137" i="1"/>
  <c r="G79" i="1"/>
  <c r="G123" i="1"/>
  <c r="G45" i="1"/>
  <c r="G73" i="1"/>
  <c r="G89" i="1"/>
  <c r="G105" i="1"/>
  <c r="G121" i="1"/>
  <c r="G57" i="1"/>
  <c r="G119" i="1"/>
  <c r="G39" i="1"/>
  <c r="H70" i="1"/>
  <c r="H86" i="1"/>
  <c r="H102" i="1"/>
  <c r="H118" i="1"/>
  <c r="H134" i="1"/>
  <c r="G65" i="1"/>
  <c r="G115" i="1"/>
  <c r="H23" i="1"/>
  <c r="H47" i="1"/>
  <c r="H63" i="1"/>
  <c r="H87" i="1"/>
  <c r="H103" i="1"/>
  <c r="H119" i="1"/>
  <c r="H135" i="1"/>
  <c r="H32" i="1"/>
  <c r="H48" i="1"/>
  <c r="H64" i="1"/>
  <c r="G30" i="1"/>
  <c r="G54" i="1"/>
  <c r="G70" i="1"/>
  <c r="G86" i="1"/>
  <c r="G102" i="1"/>
  <c r="G118" i="1"/>
  <c r="G134" i="1"/>
  <c r="G59" i="1"/>
  <c r="H96" i="1"/>
  <c r="H128" i="1"/>
  <c r="G21" i="1"/>
  <c r="G77" i="1"/>
  <c r="G109" i="1"/>
  <c r="G125" i="1"/>
  <c r="H25" i="1"/>
  <c r="H57" i="1"/>
  <c r="H89" i="1"/>
  <c r="H121" i="1"/>
  <c r="H34" i="1"/>
  <c r="H66" i="1"/>
  <c r="G48" i="1"/>
  <c r="G80" i="1"/>
  <c r="G112" i="1"/>
  <c r="G35" i="1"/>
  <c r="H116" i="1"/>
  <c r="G29" i="1"/>
  <c r="G97" i="1"/>
  <c r="G95" i="1"/>
  <c r="G55" i="1"/>
  <c r="H94" i="1"/>
  <c r="H126" i="1"/>
  <c r="G87" i="1"/>
  <c r="H42" i="1"/>
  <c r="G120" i="1"/>
  <c r="H132" i="1"/>
  <c r="G113" i="1"/>
  <c r="H74" i="1"/>
  <c r="H138" i="1"/>
  <c r="H41" i="1"/>
  <c r="H73" i="1"/>
  <c r="H105" i="1"/>
  <c r="H50" i="1"/>
  <c r="G64" i="1"/>
  <c r="G96" i="1"/>
  <c r="H84" i="1"/>
  <c r="G81" i="1"/>
  <c r="G23" i="1"/>
  <c r="H110" i="1"/>
  <c r="G135" i="1"/>
  <c r="H49" i="1"/>
  <c r="H113" i="1"/>
  <c r="H26" i="1"/>
  <c r="G40" i="1"/>
  <c r="G72" i="1"/>
  <c r="G136" i="1"/>
  <c r="G99" i="1"/>
  <c r="G83" i="1"/>
  <c r="H122" i="1"/>
  <c r="H33" i="1"/>
  <c r="H65" i="1"/>
  <c r="H97" i="1"/>
  <c r="H129" i="1"/>
  <c r="G24" i="1"/>
  <c r="G56" i="1"/>
  <c r="G88" i="1"/>
  <c r="G67" i="1"/>
  <c r="G61" i="1"/>
  <c r="G131" i="1"/>
  <c r="H106" i="1"/>
  <c r="G127" i="1"/>
  <c r="H137" i="1"/>
  <c r="G32" i="1"/>
  <c r="G128" i="1"/>
  <c r="G49" i="1"/>
  <c r="G129" i="1"/>
  <c r="H78" i="1"/>
  <c r="G25" i="1"/>
  <c r="H81" i="1"/>
  <c r="H58" i="1"/>
  <c r="G104" i="1"/>
  <c r="H100" i="1"/>
  <c r="G93" i="1"/>
  <c r="G47" i="1"/>
  <c r="H90" i="1"/>
  <c r="G75" i="1"/>
  <c r="P33" i="1" l="1"/>
  <c r="P38" i="1"/>
  <c r="P48" i="1"/>
  <c r="P46" i="1"/>
  <c r="P45" i="1"/>
  <c r="P49" i="1"/>
  <c r="P47" i="1"/>
  <c r="P50" i="1"/>
  <c r="P37" i="1"/>
  <c r="P43" i="1"/>
  <c r="P40" i="1"/>
  <c r="P36" i="1"/>
  <c r="P41" i="1"/>
  <c r="P32" i="1"/>
  <c r="P39" i="1"/>
  <c r="S29" i="1" l="1"/>
  <c r="S27" i="1" s="1"/>
</calcChain>
</file>

<file path=xl/sharedStrings.xml><?xml version="1.0" encoding="utf-8"?>
<sst xmlns="http://schemas.openxmlformats.org/spreadsheetml/2006/main" count="50" uniqueCount="46">
  <si>
    <t>Question 1:</t>
  </si>
  <si>
    <t>Go to: https://www.treasury.gov/resource-center/data-chart-center/interest-rates/Pages/TextView.aspx?data=yield and pull the most recent yield curve. That should be an input for your code and should be displayed on this worksheet.</t>
  </si>
  <si>
    <t>Question 2:</t>
  </si>
  <si>
    <t>Build a Linear Interpolation model that accepts a matrix of data and a frequency to split years by and fill in the missing data.</t>
  </si>
  <si>
    <t xml:space="preserve">Question 3: </t>
  </si>
  <si>
    <t xml:space="preserve">Question 4: </t>
  </si>
  <si>
    <t>Build a Floating Rate Note pricer in VBA. All inputs should be on this spreadsheet and the output should be appear here as well.</t>
  </si>
  <si>
    <t>Build a Forward Rate calculator in VBA. Should be flexible to work on various frequencies.</t>
  </si>
  <si>
    <t>Date</t>
  </si>
  <si>
    <t>1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</si>
  <si>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</si>
  <si>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</si>
  <si>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</si>
  <si>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</si>
  <si>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</si>
  <si>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</si>
  <si>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</si>
  <si>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</si>
  <si>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</si>
  <si>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</si>
  <si>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Yield</t>
  </si>
  <si>
    <t>5/14/2018 Yield</t>
  </si>
  <si>
    <t>Years</t>
  </si>
  <si>
    <t>Frequency</t>
  </si>
  <si>
    <t>Q1:</t>
  </si>
  <si>
    <t>Q2:</t>
  </si>
  <si>
    <t>Interpolate($D$19:$E$29,$K$16)</t>
  </si>
  <si>
    <t>ForwardRate</t>
  </si>
  <si>
    <t>Q4</t>
  </si>
  <si>
    <t>Inputs</t>
  </si>
  <si>
    <t>Maturity</t>
  </si>
  <si>
    <t>Notional</t>
  </si>
  <si>
    <t>Rate</t>
  </si>
  <si>
    <t>Payments</t>
  </si>
  <si>
    <t>Price</t>
  </si>
  <si>
    <t>Answer Check</t>
  </si>
  <si>
    <t>Quarterly</t>
  </si>
  <si>
    <t>Coupon</t>
  </si>
  <si>
    <t>PV of CF</t>
  </si>
  <si>
    <t>Type</t>
  </si>
  <si>
    <t>N/A</t>
  </si>
  <si>
    <t>CouponSpread</t>
  </si>
  <si>
    <t>FRN</t>
  </si>
  <si>
    <t>Year</t>
  </si>
  <si>
    <t>Frequentcy</t>
  </si>
  <si>
    <t>FRNPrice(D19:E29,R24,R21,R20,R19*R24)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</si>
</sst>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0" xfId="0" applyBorder="1"/>
    <xf numFmtId="0" fontId="0" fillId="2" borderId="10" xfId="0" applyFill="1" applyBorder="1"/>
    <xf numFmtId="2" fontId="0" fillId="0" borderId="10" xfId="0" applyNumberFormat="1" applyBorder="1"/>
    <xf numFmtId="10" fontId="0" fillId="0" borderId="10" xfId="1" applyNumberFormat="1" applyFont="1" applyBorder="1"/>
    <xf numFmtId="2" fontId="2" fillId="0" borderId="10" xfId="0" applyNumberFormat="1" applyFont="1" applyBorder="1"/>
    <xf numFmtId="0" fontId="0" fillId="0" borderId="0" xfId="0" applyFont="1"/>
    <xf numFmtId="0" fontId="0" fillId="0" borderId="1" xfId="0" applyBorder="1"/>
    <xf numFmtId="10" fontId="0" fillId="0" borderId="1" xfId="0" applyNumberFormat="1" applyBorder="1"/>
    <xf numFmtId="0" fontId="0" fillId="0" borderId="13" xfId="0" applyBorder="1"/>
    <xf numFmtId="8" fontId="2" fillId="0" borderId="14" xfId="0" applyNumberFormat="1" applyFont="1" applyBorder="1"/>
    <xf numFmtId="8" fontId="0" fillId="0" borderId="1" xfId="0" applyNumberFormat="1" applyBorder="1"/>
    <xf numFmtId="2" fontId="0" fillId="0" borderId="1" xfId="0" applyNumberFormat="1" applyBorder="1"/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2" fontId="0" fillId="0" borderId="10" xfId="1" applyNumberFormat="1" applyFont="1" applyBorder="1"/>
  </cellXfs>
  <cellStyles count="2">
    <cellStyle name="常规" xfId="0" builtinId="0"/>
    <cellStyle name="百分比" xfId="1" builtinId="5"/>
  </cellStyles>
  <dxfs count="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38"/>
  <sheetViews>
    <sheetView showGridLines="0" tabSelected="1" topLeftCell="A16" zoomScale="62" workbookViewId="0">
      <selection activeCell="O27" sqref="O27"/>
    </sheetView>
  </sheetViews>
  <sheetFormatPr defaultRowHeight="14.5" x14ac:dyDescent="0.35"/>
  <cols>
    <col min="1" max="1" width="11.1796875" bestFit="1" customWidth="1"/>
    <col min="4" max="4" width="11.36328125" bestFit="1" customWidth="1"/>
    <col min="24" max="24" width="11.08984375" customWidth="1"/>
  </cols>
  <sheetData>
    <row r="1" spans="1:16" x14ac:dyDescent="0.35">
      <c r="A1" s="17" t="s">
        <v>0</v>
      </c>
      <c r="B1" s="19" t="s">
        <v>1</v>
      </c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20"/>
    </row>
    <row r="2" spans="1:16" x14ac:dyDescent="0.35">
      <c r="A2" s="18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2"/>
    </row>
    <row r="3" spans="1:16" x14ac:dyDescent="0.35">
      <c r="A3" s="1" t="s">
        <v>2</v>
      </c>
      <c r="B3" s="23" t="s">
        <v>3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4"/>
    </row>
    <row r="4" spans="1:16" x14ac:dyDescent="0.35">
      <c r="A4" s="1" t="s">
        <v>4</v>
      </c>
      <c r="B4" s="23" t="s">
        <v>7</v>
      </c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4"/>
    </row>
    <row r="5" spans="1:16" ht="15" thickBot="1" x14ac:dyDescent="0.4">
      <c r="A5" s="2" t="s">
        <v>5</v>
      </c>
      <c r="B5" s="25" t="s">
        <v>6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6"/>
    </row>
    <row r="11" spans="1:16" x14ac:dyDescent="0.35">
      <c r="D11" t="s">
        <v>24</v>
      </c>
      <c r="G11" s="8" t="s">
        <v>25</v>
      </c>
      <c r="H11" s="3" t="s">
        <v>23</v>
      </c>
      <c r="I11" s="7">
        <f>4</f>
        <v>4</v>
      </c>
      <c r="N11" t="s">
        <v>28</v>
      </c>
    </row>
    <row r="13" spans="1:16" x14ac:dyDescent="0.35">
      <c r="G13" t="s">
        <v>26</v>
      </c>
      <c r="N13" t="s">
        <v>45</v>
      </c>
    </row>
    <row r="14" spans="1:16" x14ac:dyDescent="0.35">
      <c r="G14" t="str">
        <f>Interpolate_helper()</f>
        <v>oldRates as variant, freq as integer</v>
      </c>
      <c r="N14" t="str">
        <f>FRNPrice_helper()</f>
        <v>oldRates As Variant, freq As Double, couponMargin As Double, notional As Double, nper As Integer</v>
      </c>
    </row>
    <row r="15" spans="1:16" x14ac:dyDescent="0.35">
      <c r="N15" t="str">
        <f>ForwardRates_helper()</f>
        <v>oldRate as variant, freq as Double</v>
      </c>
    </row>
    <row r="18" spans="1:19" x14ac:dyDescent="0.35">
      <c r="A18" s="4" t="s">
        <v>8</v>
      </c>
      <c r="B18" s="4" t="s">
        <v>21</v>
      </c>
      <c r="D18" s="4" t="s">
        <v>22</v>
      </c>
      <c r="E18" s="4" t="s">
        <v>20</v>
      </c>
      <c r="G18" s="4" t="s">
        <v>43</v>
      </c>
      <c r="H18" s="4" t="s">
        <v>20</v>
      </c>
      <c r="I18" s="4" t="s">
        <v>43</v>
      </c>
      <c r="J18" s="4" t="s">
        <v>27</v>
      </c>
      <c r="N18" s="15" t="s">
        <v>29</v>
      </c>
      <c r="O18" s="16"/>
    </row>
    <row r="19" spans="1:19" x14ac:dyDescent="0.35">
      <c r="A19" s="3" t="s">
        <v>9</v>
      </c>
      <c r="B19" s="5">
        <v>1.7</v>
      </c>
      <c r="D19" s="5">
        <f>1/12</f>
        <v>8.3333333333333329E-2</v>
      </c>
      <c r="E19" s="6">
        <f t="shared" ref="E19:E29" si="0">B19/100</f>
        <v>1.7000000000000001E-2</v>
      </c>
      <c r="G19" s="5">
        <f t="array" ref="G19:H138">Interpolate($D$19:$E$29,$I$11)</f>
        <v>0.25</v>
      </c>
      <c r="H19" s="6">
        <v>1.9299999999999998E-2</v>
      </c>
      <c r="I19" s="27">
        <f t="array" ref="I19:J138">ForwardRates($D$19:$E$29,$I$11)</f>
        <v>0.25</v>
      </c>
      <c r="J19" s="6">
        <v>1.9299999999999998E-2</v>
      </c>
      <c r="N19" s="9" t="s">
        <v>30</v>
      </c>
      <c r="O19" s="9">
        <v>5</v>
      </c>
    </row>
    <row r="20" spans="1:19" x14ac:dyDescent="0.35">
      <c r="A20" s="3" t="s">
        <v>10</v>
      </c>
      <c r="B20" s="5">
        <v>1.93</v>
      </c>
      <c r="D20" s="5">
        <f>3/12</f>
        <v>0.25</v>
      </c>
      <c r="E20" s="6">
        <f t="shared" si="0"/>
        <v>1.9299999999999998E-2</v>
      </c>
      <c r="G20" s="5">
        <v>0.5</v>
      </c>
      <c r="H20" s="6">
        <v>2.0899999999999998E-2</v>
      </c>
      <c r="I20" s="27">
        <v>0.5</v>
      </c>
      <c r="J20" s="6">
        <v>2.2500636926828035E-2</v>
      </c>
      <c r="N20" s="9" t="s">
        <v>31</v>
      </c>
      <c r="O20" s="9">
        <v>100</v>
      </c>
    </row>
    <row r="21" spans="1:19" x14ac:dyDescent="0.35">
      <c r="A21" s="3" t="s">
        <v>11</v>
      </c>
      <c r="B21" s="5">
        <v>2.09</v>
      </c>
      <c r="D21" s="5">
        <f>6/12</f>
        <v>0.5</v>
      </c>
      <c r="E21" s="6">
        <f t="shared" si="0"/>
        <v>2.0899999999999998E-2</v>
      </c>
      <c r="G21" s="5">
        <v>0.75</v>
      </c>
      <c r="H21" s="6">
        <v>2.1849999999999998E-2</v>
      </c>
      <c r="I21" s="27">
        <v>0.75</v>
      </c>
      <c r="J21" s="6">
        <v>2.3750673409740731E-2</v>
      </c>
      <c r="N21" s="9" t="s">
        <v>41</v>
      </c>
      <c r="O21" s="10">
        <v>7.0000000000000001E-3</v>
      </c>
    </row>
    <row r="22" spans="1:19" x14ac:dyDescent="0.35">
      <c r="A22" s="3" t="s">
        <v>12</v>
      </c>
      <c r="B22" s="5">
        <v>2.2799999999999998</v>
      </c>
      <c r="D22" s="5">
        <f>1</f>
        <v>1</v>
      </c>
      <c r="E22" s="6">
        <f t="shared" si="0"/>
        <v>2.2799999999999997E-2</v>
      </c>
      <c r="G22" s="5">
        <v>1</v>
      </c>
      <c r="H22" s="6">
        <v>2.2799999999999997E-2</v>
      </c>
      <c r="I22" s="27">
        <v>1</v>
      </c>
      <c r="J22" s="6">
        <v>2.5651346607350297E-2</v>
      </c>
      <c r="N22" s="9" t="s">
        <v>32</v>
      </c>
      <c r="O22" s="10" t="s">
        <v>40</v>
      </c>
    </row>
    <row r="23" spans="1:19" x14ac:dyDescent="0.35">
      <c r="A23" s="3" t="s">
        <v>13</v>
      </c>
      <c r="B23" s="5">
        <v>2.5499999999999998</v>
      </c>
      <c r="D23" s="5">
        <f>2</f>
        <v>2</v>
      </c>
      <c r="E23" s="6">
        <f t="shared" si="0"/>
        <v>2.5499999999999998E-2</v>
      </c>
      <c r="G23" s="5">
        <v>1.25</v>
      </c>
      <c r="H23" s="6">
        <v>2.3474999999999996E-2</v>
      </c>
      <c r="I23" s="27">
        <v>1.25</v>
      </c>
      <c r="J23" s="6">
        <v>2.6176132796703014E-2</v>
      </c>
      <c r="N23" s="9" t="s">
        <v>33</v>
      </c>
      <c r="O23" s="9" t="s">
        <v>36</v>
      </c>
    </row>
    <row r="24" spans="1:19" x14ac:dyDescent="0.35">
      <c r="A24" s="3" t="s">
        <v>14</v>
      </c>
      <c r="B24" s="5">
        <v>2.7</v>
      </c>
      <c r="D24" s="5">
        <f>3</f>
        <v>3</v>
      </c>
      <c r="E24" s="6">
        <f t="shared" si="0"/>
        <v>2.7000000000000003E-2</v>
      </c>
      <c r="G24" s="5">
        <v>1.5</v>
      </c>
      <c r="H24" s="6">
        <v>2.4149999999999998E-2</v>
      </c>
      <c r="I24" s="27">
        <v>1.5</v>
      </c>
      <c r="J24" s="6">
        <v>2.752669900495008E-2</v>
      </c>
      <c r="N24" s="9" t="s">
        <v>44</v>
      </c>
      <c r="O24" s="9">
        <v>4</v>
      </c>
    </row>
    <row r="25" spans="1:19" x14ac:dyDescent="0.35">
      <c r="A25" s="3" t="s">
        <v>15</v>
      </c>
      <c r="B25" s="5">
        <v>2.85</v>
      </c>
      <c r="D25" s="5">
        <f>5</f>
        <v>5</v>
      </c>
      <c r="E25" s="6">
        <f t="shared" si="0"/>
        <v>2.8500000000000001E-2</v>
      </c>
      <c r="G25" s="5">
        <v>1.75</v>
      </c>
      <c r="H25" s="6">
        <v>2.4825E-2</v>
      </c>
      <c r="I25" s="27">
        <v>1.75</v>
      </c>
      <c r="J25" s="6">
        <v>2.8877378340851304E-2</v>
      </c>
      <c r="N25" s="9" t="s">
        <v>39</v>
      </c>
      <c r="O25" s="9" t="s">
        <v>42</v>
      </c>
    </row>
    <row r="26" spans="1:19" ht="15" thickBot="1" x14ac:dyDescent="0.4">
      <c r="A26" s="3" t="s">
        <v>16</v>
      </c>
      <c r="B26" s="5">
        <v>2.96</v>
      </c>
      <c r="D26" s="5">
        <f>7</f>
        <v>7</v>
      </c>
      <c r="E26" s="6">
        <f t="shared" si="0"/>
        <v>2.9600000000000001E-2</v>
      </c>
      <c r="G26" s="5">
        <v>2</v>
      </c>
      <c r="H26" s="6">
        <v>2.5499999999999998E-2</v>
      </c>
      <c r="I26" s="27">
        <v>2</v>
      </c>
      <c r="J26" s="6">
        <v>3.0228170766432132E-2</v>
      </c>
    </row>
    <row r="27" spans="1:19" ht="15" thickBot="1" x14ac:dyDescent="0.4">
      <c r="A27" s="3" t="s">
        <v>17</v>
      </c>
      <c r="B27" s="5">
        <v>3</v>
      </c>
      <c r="D27" s="5">
        <f>10</f>
        <v>10</v>
      </c>
      <c r="E27" s="6">
        <f t="shared" si="0"/>
        <v>0.03</v>
      </c>
      <c r="G27" s="5">
        <v>2.25</v>
      </c>
      <c r="H27" s="6">
        <v>2.5874999999999999E-2</v>
      </c>
      <c r="I27" s="27">
        <v>2.25</v>
      </c>
      <c r="J27" s="6">
        <v>2.8876257881147459E-2</v>
      </c>
      <c r="N27" s="11" t="s">
        <v>34</v>
      </c>
      <c r="O27" s="12">
        <f>FRNPrice(D19:E29,O24,O21,O20,O19*O24)</f>
        <v>103.26487355795288</v>
      </c>
      <c r="R27" s="11" t="s">
        <v>35</v>
      </c>
      <c r="S27" s="12" t="str">
        <f>IF($O$27=$S$29,"Well Done!","Try Again!")</f>
        <v>Well Done!</v>
      </c>
    </row>
    <row r="28" spans="1:19" x14ac:dyDescent="0.35">
      <c r="A28" s="3" t="s">
        <v>18</v>
      </c>
      <c r="B28" s="5">
        <v>3.06</v>
      </c>
      <c r="D28" s="5">
        <f>20</f>
        <v>20</v>
      </c>
      <c r="E28" s="6">
        <f t="shared" si="0"/>
        <v>3.0600000000000002E-2</v>
      </c>
      <c r="G28" s="5">
        <v>2.5</v>
      </c>
      <c r="H28" s="6">
        <v>2.6249999999999999E-2</v>
      </c>
      <c r="I28" s="27">
        <v>2.5</v>
      </c>
      <c r="J28" s="6">
        <v>2.9626572253763715E-2</v>
      </c>
    </row>
    <row r="29" spans="1:19" x14ac:dyDescent="0.35">
      <c r="A29" s="3" t="s">
        <v>19</v>
      </c>
      <c r="B29" s="5">
        <v>3.13</v>
      </c>
      <c r="D29" s="5">
        <f>30</f>
        <v>30</v>
      </c>
      <c r="E29" s="6">
        <f t="shared" si="0"/>
        <v>3.1300000000000001E-2</v>
      </c>
      <c r="G29" s="5">
        <v>2.75</v>
      </c>
      <c r="H29" s="6">
        <v>2.6625000000000003E-2</v>
      </c>
      <c r="I29" s="27">
        <v>2.75</v>
      </c>
      <c r="J29" s="6">
        <v>3.0376921524126594E-2</v>
      </c>
      <c r="N29" s="9" t="s">
        <v>22</v>
      </c>
      <c r="O29" s="9" t="s">
        <v>37</v>
      </c>
      <c r="P29" s="9" t="s">
        <v>38</v>
      </c>
      <c r="R29" s="9" t="s">
        <v>34</v>
      </c>
      <c r="S29" s="13">
        <f>SUM(P30:P50)</f>
        <v>103.26487355795295</v>
      </c>
    </row>
    <row r="30" spans="1:19" x14ac:dyDescent="0.35">
      <c r="G30" s="5">
        <v>3</v>
      </c>
      <c r="H30" s="6">
        <v>2.7000000000000003E-2</v>
      </c>
      <c r="I30" s="27">
        <v>3</v>
      </c>
      <c r="J30" s="6">
        <v>3.1127305685733922E-2</v>
      </c>
      <c r="N30" s="14">
        <v>0</v>
      </c>
      <c r="O30" s="13">
        <v>0</v>
      </c>
      <c r="P30" s="13">
        <f>O30/(1+0/$I$11)^(N30*$I$11)</f>
        <v>0</v>
      </c>
    </row>
    <row r="31" spans="1:19" x14ac:dyDescent="0.35">
      <c r="G31" s="5">
        <v>3.25</v>
      </c>
      <c r="H31" s="6">
        <v>2.7187500000000003E-2</v>
      </c>
      <c r="I31" s="27">
        <v>3.25</v>
      </c>
      <c r="J31" s="6">
        <v>2.9438181066726254E-2</v>
      </c>
      <c r="N31" s="5">
        <f t="array" ref="N31:N50">Interpolate($D$19:$E$29,$I$11)</f>
        <v>0.25</v>
      </c>
      <c r="O31" s="13">
        <f>$O$20*(($O$21+J19)/$I$11)</f>
        <v>0.65749999999999997</v>
      </c>
      <c r="P31" s="13">
        <f>O31/(1+H19/$I$11)^(N31*$I$11)</f>
        <v>0.65434279600925527</v>
      </c>
    </row>
    <row r="32" spans="1:19" x14ac:dyDescent="0.35">
      <c r="G32" s="5">
        <v>3.5</v>
      </c>
      <c r="H32" s="6">
        <v>2.7375000000000003E-2</v>
      </c>
      <c r="I32" s="27">
        <v>3.5</v>
      </c>
      <c r="J32" s="6">
        <v>2.9813294553179787E-2</v>
      </c>
      <c r="N32" s="5">
        <v>0.5</v>
      </c>
      <c r="O32" s="13">
        <f>$O$20*(($O$21+J20)/$I$11)</f>
        <v>0.73751592317070092</v>
      </c>
      <c r="P32" s="13">
        <f>O32/(1+H20/$I$11)^(N32*$I$11)</f>
        <v>0.72986886762773673</v>
      </c>
    </row>
    <row r="33" spans="7:16" x14ac:dyDescent="0.35">
      <c r="G33" s="5">
        <v>3.75</v>
      </c>
      <c r="H33" s="6">
        <v>2.7562500000000004E-2</v>
      </c>
      <c r="I33" s="27">
        <v>3.75</v>
      </c>
      <c r="J33" s="6">
        <v>3.0188416763667493E-2</v>
      </c>
      <c r="N33" s="5">
        <v>0.75</v>
      </c>
      <c r="O33" s="13">
        <f>$O$20*(($O$21+J21)/$I$11)</f>
        <v>0.7687668352435183</v>
      </c>
      <c r="P33" s="13">
        <f>O33/(1+H21/$I$11)^(N33*$I$11)</f>
        <v>0.75630506083765847</v>
      </c>
    </row>
    <row r="34" spans="7:16" x14ac:dyDescent="0.35">
      <c r="G34" s="5">
        <v>4</v>
      </c>
      <c r="H34" s="6">
        <v>2.7750000000000004E-2</v>
      </c>
      <c r="I34" s="27">
        <v>4</v>
      </c>
      <c r="J34" s="6">
        <v>3.0563547697378724E-2</v>
      </c>
      <c r="N34" s="5">
        <v>1</v>
      </c>
      <c r="O34" s="13">
        <f>$O$20*(($O$21+J22)/$I$11)</f>
        <v>0.8162836651837575</v>
      </c>
      <c r="P34" s="13">
        <f>O34/(1+H22/$I$11)^(N34*$I$11)</f>
        <v>0.79793461466567694</v>
      </c>
    </row>
    <row r="35" spans="7:16" x14ac:dyDescent="0.35">
      <c r="G35" s="5">
        <v>4.25</v>
      </c>
      <c r="H35" s="6">
        <v>2.7937500000000004E-2</v>
      </c>
      <c r="I35" s="27">
        <v>4.25</v>
      </c>
      <c r="J35" s="6">
        <v>3.0938687353502217E-2</v>
      </c>
      <c r="N35" s="5">
        <v>1.25</v>
      </c>
      <c r="O35" s="13">
        <f>$O$20*(($O$21+J23)/$I$11)</f>
        <v>0.82940331991757532</v>
      </c>
      <c r="P35" s="13">
        <f>O35/(1+H23/$I$11)^(N35*$I$11)</f>
        <v>0.80548821411961413</v>
      </c>
    </row>
    <row r="36" spans="7:16" x14ac:dyDescent="0.35">
      <c r="G36" s="5">
        <v>4.5</v>
      </c>
      <c r="H36" s="6">
        <v>2.8125000000000004E-2</v>
      </c>
      <c r="I36" s="27">
        <v>4.5</v>
      </c>
      <c r="J36" s="6">
        <v>3.1313835731223226E-2</v>
      </c>
      <c r="N36" s="5">
        <v>1.5</v>
      </c>
      <c r="O36" s="13">
        <f>$O$20*(($O$21+J24)/$I$11)</f>
        <v>0.86316747512375203</v>
      </c>
      <c r="P36" s="13">
        <f>O36/(1+H24/$I$11)^(N36*$I$11)</f>
        <v>0.83254947528832834</v>
      </c>
    </row>
    <row r="37" spans="7:16" x14ac:dyDescent="0.35">
      <c r="G37" s="5">
        <v>4.75</v>
      </c>
      <c r="H37" s="6">
        <v>2.8312500000000004E-2</v>
      </c>
      <c r="I37" s="27">
        <v>4.75</v>
      </c>
      <c r="J37" s="6">
        <v>3.1688992829731158E-2</v>
      </c>
      <c r="N37" s="5">
        <v>1.75</v>
      </c>
      <c r="O37" s="13">
        <f>$O$20*(($O$21+J25)/$I$11)</f>
        <v>0.89693445852128262</v>
      </c>
      <c r="P37" s="13">
        <f>O37/(1+H25/$I$11)^(N37*$I$11)</f>
        <v>0.85891786305700313</v>
      </c>
    </row>
    <row r="38" spans="7:16" x14ac:dyDescent="0.35">
      <c r="G38" s="5">
        <v>5</v>
      </c>
      <c r="H38" s="6">
        <v>2.8500000000000001E-2</v>
      </c>
      <c r="I38" s="27">
        <v>5</v>
      </c>
      <c r="J38" s="6">
        <v>3.2064158648212111E-2</v>
      </c>
      <c r="N38" s="5">
        <v>2</v>
      </c>
      <c r="O38" s="13">
        <f>$O$20*(($O$21+J26)/$I$11)</f>
        <v>0.93070426916080329</v>
      </c>
      <c r="P38" s="13">
        <f>O38/(1+H26/$I$11)^(N38*$I$11)</f>
        <v>0.88457159390289208</v>
      </c>
    </row>
    <row r="39" spans="7:16" x14ac:dyDescent="0.35">
      <c r="G39" s="5">
        <v>5.25</v>
      </c>
      <c r="H39" s="6">
        <v>2.86375E-2</v>
      </c>
      <c r="I39" s="27">
        <v>5.25</v>
      </c>
      <c r="J39" s="6">
        <v>3.1388485769119928E-2</v>
      </c>
      <c r="N39" s="5">
        <v>2.25</v>
      </c>
      <c r="O39" s="13">
        <f>$O$20*(($O$21+J27)/$I$11)</f>
        <v>0.8969064470286866</v>
      </c>
      <c r="P39" s="13">
        <f>O39/(1+H27/$I$11)^(N39*$I$11)</f>
        <v>0.84633926727269482</v>
      </c>
    </row>
    <row r="40" spans="7:16" x14ac:dyDescent="0.35">
      <c r="G40" s="5">
        <v>5.5</v>
      </c>
      <c r="H40" s="6">
        <v>2.8774999999999998E-2</v>
      </c>
      <c r="I40" s="27">
        <v>5.5</v>
      </c>
      <c r="J40" s="6">
        <v>3.1663584321350982E-2</v>
      </c>
      <c r="N40" s="5">
        <v>2.5</v>
      </c>
      <c r="O40" s="13">
        <f>$O$20*(($O$21+J28)/$I$11)</f>
        <v>0.9156643063440929</v>
      </c>
      <c r="P40" s="13">
        <f>O40/(1+H28/$I$11)^(N40*$I$11)</f>
        <v>0.85768698560274526</v>
      </c>
    </row>
    <row r="41" spans="7:16" x14ac:dyDescent="0.35">
      <c r="G41" s="5">
        <v>5.75</v>
      </c>
      <c r="H41" s="6">
        <v>2.8912500000000001E-2</v>
      </c>
      <c r="I41" s="27">
        <v>5.75</v>
      </c>
      <c r="J41" s="6">
        <v>3.1938687563001708E-2</v>
      </c>
      <c r="N41" s="5">
        <v>2.75</v>
      </c>
      <c r="O41" s="13">
        <f>$O$20*(($O$21+J29)/$I$11)</f>
        <v>0.93442303810316496</v>
      </c>
      <c r="P41" s="13">
        <f>O41/(1+H29/$I$11)^(N41*$I$11)</f>
        <v>0.86866115364291019</v>
      </c>
    </row>
    <row r="42" spans="7:16" x14ac:dyDescent="0.35">
      <c r="G42" s="5">
        <v>6</v>
      </c>
      <c r="H42" s="6">
        <v>2.9049999999999999E-2</v>
      </c>
      <c r="I42" s="27">
        <v>6</v>
      </c>
      <c r="J42" s="6">
        <v>3.2213795493810794E-2</v>
      </c>
      <c r="N42" s="5">
        <v>3</v>
      </c>
      <c r="O42" s="13">
        <f>$O$20*(($O$21+J30)/$I$11)</f>
        <v>0.95318264214334802</v>
      </c>
      <c r="P42" s="13">
        <f>O42/(1+H30/$I$11)^(N42*$I$11)</f>
        <v>0.87925827784603061</v>
      </c>
    </row>
    <row r="43" spans="7:16" x14ac:dyDescent="0.35">
      <c r="G43" s="5">
        <v>6.25</v>
      </c>
      <c r="H43" s="6">
        <v>2.9187499999999998E-2</v>
      </c>
      <c r="I43" s="27">
        <v>6.25</v>
      </c>
      <c r="J43" s="6">
        <v>3.2488908113398933E-2</v>
      </c>
      <c r="N43" s="5">
        <v>3.25</v>
      </c>
      <c r="O43" s="13">
        <f>$O$20*(($O$21+J31)/$I$11)</f>
        <v>0.91095452666815646</v>
      </c>
      <c r="P43" s="13">
        <f>O43/(1+H31/$I$11)^(N43*$I$11)</f>
        <v>0.83416609334596614</v>
      </c>
    </row>
    <row r="44" spans="7:16" x14ac:dyDescent="0.35">
      <c r="G44" s="5">
        <v>6.5</v>
      </c>
      <c r="H44" s="6">
        <v>2.9325E-2</v>
      </c>
      <c r="I44" s="27">
        <v>6.5</v>
      </c>
      <c r="J44" s="6">
        <v>3.2764025421463991E-2</v>
      </c>
      <c r="N44" s="5">
        <v>3.5</v>
      </c>
      <c r="O44" s="13">
        <f>$O$20*(($O$21+J32)/$I$11)</f>
        <v>0.92033236382949479</v>
      </c>
      <c r="P44" s="13">
        <f>O44/(1+H32/$I$11)^(N44*$I$11)</f>
        <v>0.83651858689219338</v>
      </c>
    </row>
    <row r="45" spans="7:16" x14ac:dyDescent="0.35">
      <c r="G45" s="5">
        <v>6.75</v>
      </c>
      <c r="H45" s="6">
        <v>2.9462500000000003E-2</v>
      </c>
      <c r="I45" s="27">
        <v>6.75</v>
      </c>
      <c r="J45" s="6">
        <v>3.303914741768952E-2</v>
      </c>
      <c r="N45" s="5">
        <v>3.75</v>
      </c>
      <c r="O45" s="13">
        <f>$O$20*(($O$21+J33)/$I$11)</f>
        <v>0.92971041909168728</v>
      </c>
      <c r="P45" s="13">
        <f>O45/(1+H33/$I$11)^(N45*$I$11)</f>
        <v>0.83871273931540691</v>
      </c>
    </row>
    <row r="46" spans="7:16" x14ac:dyDescent="0.35">
      <c r="G46" s="5">
        <v>7</v>
      </c>
      <c r="H46" s="6">
        <v>2.9600000000000001E-2</v>
      </c>
      <c r="I46" s="27">
        <v>7</v>
      </c>
      <c r="J46" s="6">
        <v>3.3314274101751418E-2</v>
      </c>
      <c r="N46" s="5">
        <v>4</v>
      </c>
      <c r="O46" s="13">
        <f>$O$20*(($O$21+J34)/$I$11)</f>
        <v>0.93908869243446813</v>
      </c>
      <c r="P46" s="13">
        <f>O46/(1+H34/$I$11)^(N46*$I$11)</f>
        <v>0.8407490230146758</v>
      </c>
    </row>
    <row r="47" spans="7:16" x14ac:dyDescent="0.35">
      <c r="G47" s="5">
        <v>7.25</v>
      </c>
      <c r="H47" s="6">
        <v>2.9633333333333334E-2</v>
      </c>
      <c r="I47" s="27">
        <v>7.25</v>
      </c>
      <c r="J47" s="6">
        <v>3.0566778624334559E-2</v>
      </c>
      <c r="N47" s="5">
        <v>4.25</v>
      </c>
      <c r="O47" s="13">
        <f>$O$20*(($O$21+J35)/$I$11)</f>
        <v>0.94846718383755546</v>
      </c>
      <c r="P47" s="13">
        <f>O47/(1+H35/$I$11)^(N47*$I$11)</f>
        <v>0.84262796496925663</v>
      </c>
    </row>
    <row r="48" spans="7:16" x14ac:dyDescent="0.35">
      <c r="G48" s="5">
        <v>7.5</v>
      </c>
      <c r="H48" s="6">
        <v>2.9666666666666668E-2</v>
      </c>
      <c r="I48" s="27">
        <v>7.5</v>
      </c>
      <c r="J48" s="6">
        <v>3.0633453287343494E-2</v>
      </c>
      <c r="N48" s="5">
        <v>4.5</v>
      </c>
      <c r="O48" s="13">
        <f>$O$20*(($O$21+J36)/$I$11)</f>
        <v>0.95784589328058067</v>
      </c>
      <c r="P48" s="13">
        <f>O48/(1+H36/$I$11)^(N48*$I$11)</f>
        <v>0.84435014609749992</v>
      </c>
    </row>
    <row r="49" spans="7:16" x14ac:dyDescent="0.35">
      <c r="G49" s="5">
        <v>7.75</v>
      </c>
      <c r="H49" s="6">
        <v>2.9700000000000001E-2</v>
      </c>
      <c r="I49" s="27">
        <v>7.75</v>
      </c>
      <c r="J49" s="6">
        <v>3.0700128225992707E-2</v>
      </c>
      <c r="N49" s="5">
        <v>4.75</v>
      </c>
      <c r="O49" s="13">
        <f>$O$20*(($O$21+J37)/$I$11)</f>
        <v>0.96722482074327898</v>
      </c>
      <c r="P49" s="13">
        <f>O49/(1+H37/$I$11)^(N49*$I$11)</f>
        <v>0.84591620059083239</v>
      </c>
    </row>
    <row r="50" spans="7:16" x14ac:dyDescent="0.35">
      <c r="G50" s="5">
        <v>8</v>
      </c>
      <c r="H50" s="6">
        <v>2.9733333333333334E-2</v>
      </c>
      <c r="I50" s="27">
        <v>8</v>
      </c>
      <c r="J50" s="6">
        <v>3.0766803440305163E-2</v>
      </c>
      <c r="N50" s="5">
        <v>5</v>
      </c>
      <c r="O50" s="13">
        <f>$O$20*(($O$21+J38)/$I$11)+$O$20</f>
        <v>100.9766039662053</v>
      </c>
      <c r="P50" s="13">
        <f>O50/(1+H38/$I$11)^(N50*$I$11)</f>
        <v>87.609908633854573</v>
      </c>
    </row>
    <row r="51" spans="7:16" x14ac:dyDescent="0.35">
      <c r="G51" s="5">
        <v>8.25</v>
      </c>
      <c r="H51" s="6">
        <v>2.9766666666666667E-2</v>
      </c>
      <c r="I51" s="27">
        <v>8.25</v>
      </c>
      <c r="J51" s="6">
        <v>3.0833478930244948E-2</v>
      </c>
    </row>
    <row r="52" spans="7:16" x14ac:dyDescent="0.35">
      <c r="G52" s="5">
        <v>8.5</v>
      </c>
      <c r="H52" s="6">
        <v>2.98E-2</v>
      </c>
      <c r="I52" s="27">
        <v>8.5</v>
      </c>
      <c r="J52" s="6">
        <v>3.0900154695895469E-2</v>
      </c>
    </row>
    <row r="53" spans="7:16" x14ac:dyDescent="0.35">
      <c r="G53" s="5">
        <v>8.75</v>
      </c>
      <c r="H53" s="6">
        <v>2.9833333333333333E-2</v>
      </c>
      <c r="I53" s="27">
        <v>8.75</v>
      </c>
      <c r="J53" s="6">
        <v>3.0966830737165982E-2</v>
      </c>
    </row>
    <row r="54" spans="7:16" x14ac:dyDescent="0.35">
      <c r="G54" s="5">
        <v>9</v>
      </c>
      <c r="H54" s="6">
        <v>2.9866666666666666E-2</v>
      </c>
      <c r="I54" s="27">
        <v>9</v>
      </c>
      <c r="J54" s="6">
        <v>3.1033507054080551E-2</v>
      </c>
    </row>
    <row r="55" spans="7:16" x14ac:dyDescent="0.35">
      <c r="G55" s="5">
        <v>9.25</v>
      </c>
      <c r="H55" s="6">
        <v>2.9899999999999999E-2</v>
      </c>
      <c r="I55" s="27">
        <v>9.25</v>
      </c>
      <c r="J55" s="6">
        <v>3.1100183646601477E-2</v>
      </c>
    </row>
    <row r="56" spans="7:16" x14ac:dyDescent="0.35">
      <c r="G56" s="5">
        <v>9.5</v>
      </c>
      <c r="H56" s="6">
        <v>2.9933333333333333E-2</v>
      </c>
      <c r="I56" s="27">
        <v>9.5</v>
      </c>
      <c r="J56" s="6">
        <v>3.1166860514821992E-2</v>
      </c>
    </row>
    <row r="57" spans="7:16" x14ac:dyDescent="0.35">
      <c r="G57" s="5">
        <v>9.75</v>
      </c>
      <c r="H57" s="6">
        <v>2.9966666666666666E-2</v>
      </c>
      <c r="I57" s="27">
        <v>9.75</v>
      </c>
      <c r="J57" s="6">
        <v>3.1233537658639704E-2</v>
      </c>
    </row>
    <row r="58" spans="7:16" x14ac:dyDescent="0.35">
      <c r="G58" s="5">
        <v>10</v>
      </c>
      <c r="H58" s="6">
        <v>0.03</v>
      </c>
      <c r="I58" s="27">
        <v>10</v>
      </c>
      <c r="J58" s="6">
        <v>3.130021507808467E-2</v>
      </c>
    </row>
    <row r="59" spans="7:16" x14ac:dyDescent="0.35">
      <c r="G59" s="5">
        <v>10.25</v>
      </c>
      <c r="H59" s="6">
        <v>3.0015E-2</v>
      </c>
      <c r="I59" s="27">
        <v>10.25</v>
      </c>
      <c r="J59" s="6">
        <v>3.0615045783829915E-2</v>
      </c>
    </row>
    <row r="60" spans="7:16" x14ac:dyDescent="0.35">
      <c r="G60" s="5">
        <v>10.5</v>
      </c>
      <c r="H60" s="6">
        <v>3.0030000000000001E-2</v>
      </c>
      <c r="I60" s="27">
        <v>10.5</v>
      </c>
      <c r="J60" s="6">
        <v>3.0645048072939232E-2</v>
      </c>
    </row>
    <row r="61" spans="7:16" x14ac:dyDescent="0.35">
      <c r="G61" s="5">
        <v>10.75</v>
      </c>
      <c r="H61" s="6">
        <v>3.0045000000000002E-2</v>
      </c>
      <c r="I61" s="27">
        <v>10.75</v>
      </c>
      <c r="J61" s="6">
        <v>3.0675050417835734E-2</v>
      </c>
    </row>
    <row r="62" spans="7:16" x14ac:dyDescent="0.35">
      <c r="G62" s="5">
        <v>11</v>
      </c>
      <c r="H62" s="6">
        <v>3.0060000000000003E-2</v>
      </c>
      <c r="I62" s="27">
        <v>11</v>
      </c>
      <c r="J62" s="6">
        <v>3.0705052818515433E-2</v>
      </c>
    </row>
    <row r="63" spans="7:16" x14ac:dyDescent="0.35">
      <c r="G63" s="5">
        <v>11.25</v>
      </c>
      <c r="H63" s="6">
        <v>3.0075000000000005E-2</v>
      </c>
      <c r="I63" s="27">
        <v>11.25</v>
      </c>
      <c r="J63" s="6">
        <v>3.0735055275092921E-2</v>
      </c>
    </row>
    <row r="64" spans="7:16" x14ac:dyDescent="0.35">
      <c r="G64" s="5">
        <v>11.5</v>
      </c>
      <c r="H64" s="6">
        <v>3.0090000000000006E-2</v>
      </c>
      <c r="I64" s="27">
        <v>11.5</v>
      </c>
      <c r="J64" s="6">
        <v>3.0765057787453896E-2</v>
      </c>
    </row>
    <row r="65" spans="7:10" x14ac:dyDescent="0.35">
      <c r="G65" s="5">
        <v>11.75</v>
      </c>
      <c r="H65" s="6">
        <v>3.0105000000000007E-2</v>
      </c>
      <c r="I65" s="27">
        <v>11.75</v>
      </c>
      <c r="J65" s="6">
        <v>3.0795060355593457E-2</v>
      </c>
    </row>
    <row r="66" spans="7:10" x14ac:dyDescent="0.35">
      <c r="G66" s="5">
        <v>12</v>
      </c>
      <c r="H66" s="6">
        <v>3.0120000000000008E-2</v>
      </c>
      <c r="I66" s="27">
        <v>12</v>
      </c>
      <c r="J66" s="6">
        <v>3.0825062979635765E-2</v>
      </c>
    </row>
    <row r="67" spans="7:10" x14ac:dyDescent="0.35">
      <c r="G67" s="5">
        <v>12.25</v>
      </c>
      <c r="H67" s="6">
        <v>3.0135000000000009E-2</v>
      </c>
      <c r="I67" s="27">
        <v>12.25</v>
      </c>
      <c r="J67" s="6">
        <v>3.0855065659414042E-2</v>
      </c>
    </row>
    <row r="68" spans="7:10" x14ac:dyDescent="0.35">
      <c r="G68" s="5">
        <v>12.5</v>
      </c>
      <c r="H68" s="6">
        <v>3.015000000000001E-2</v>
      </c>
      <c r="I68" s="27">
        <v>12.5</v>
      </c>
      <c r="J68" s="6">
        <v>3.0885068395097776E-2</v>
      </c>
    </row>
    <row r="69" spans="7:10" x14ac:dyDescent="0.35">
      <c r="G69" s="5">
        <v>12.75</v>
      </c>
      <c r="H69" s="6">
        <v>3.0165000000000011E-2</v>
      </c>
      <c r="I69" s="27">
        <v>12.75</v>
      </c>
      <c r="J69" s="6">
        <v>3.0915071186557848E-2</v>
      </c>
    </row>
    <row r="70" spans="7:10" x14ac:dyDescent="0.35">
      <c r="G70" s="5">
        <v>13</v>
      </c>
      <c r="H70" s="6">
        <v>3.0180000000000012E-2</v>
      </c>
      <c r="I70" s="27">
        <v>13</v>
      </c>
      <c r="J70" s="6">
        <v>3.094507403379063E-2</v>
      </c>
    </row>
    <row r="71" spans="7:10" x14ac:dyDescent="0.35">
      <c r="G71" s="5">
        <v>13.25</v>
      </c>
      <c r="H71" s="6">
        <v>3.0195000000000013E-2</v>
      </c>
      <c r="I71" s="27">
        <v>13.25</v>
      </c>
      <c r="J71" s="6">
        <v>3.0975076936931981E-2</v>
      </c>
    </row>
    <row r="72" spans="7:10" x14ac:dyDescent="0.35">
      <c r="G72" s="5">
        <v>13.5</v>
      </c>
      <c r="H72" s="6">
        <v>3.0210000000000015E-2</v>
      </c>
      <c r="I72" s="27">
        <v>13.5</v>
      </c>
      <c r="J72" s="6">
        <v>3.1005079895847006E-2</v>
      </c>
    </row>
    <row r="73" spans="7:10" x14ac:dyDescent="0.35">
      <c r="G73" s="5">
        <v>13.75</v>
      </c>
      <c r="H73" s="6">
        <v>3.0225000000000016E-2</v>
      </c>
      <c r="I73" s="27">
        <v>13.75</v>
      </c>
      <c r="J73" s="6">
        <v>3.1035082910529383E-2</v>
      </c>
    </row>
    <row r="74" spans="7:10" x14ac:dyDescent="0.35">
      <c r="G74" s="5">
        <v>14</v>
      </c>
      <c r="H74" s="6">
        <v>3.0240000000000017E-2</v>
      </c>
      <c r="I74" s="27">
        <v>14</v>
      </c>
      <c r="J74" s="6">
        <v>3.1065085981126415E-2</v>
      </c>
    </row>
    <row r="75" spans="7:10" x14ac:dyDescent="0.35">
      <c r="G75" s="5">
        <v>14.25</v>
      </c>
      <c r="H75" s="6">
        <v>3.0255000000000018E-2</v>
      </c>
      <c r="I75" s="27">
        <v>14.25</v>
      </c>
      <c r="J75" s="6">
        <v>3.1095089107491841E-2</v>
      </c>
    </row>
    <row r="76" spans="7:10" x14ac:dyDescent="0.35">
      <c r="G76" s="5">
        <v>14.5</v>
      </c>
      <c r="H76" s="6">
        <v>3.0270000000000016E-2</v>
      </c>
      <c r="I76" s="27">
        <v>14.5</v>
      </c>
      <c r="J76" s="6">
        <v>3.1125092289622146E-2</v>
      </c>
    </row>
    <row r="77" spans="7:10" x14ac:dyDescent="0.35">
      <c r="G77" s="5">
        <v>14.75</v>
      </c>
      <c r="H77" s="6">
        <v>3.0285000000000013E-2</v>
      </c>
      <c r="I77" s="27">
        <v>14.75</v>
      </c>
      <c r="J77" s="6">
        <v>3.1155095527669038E-2</v>
      </c>
    </row>
    <row r="78" spans="7:10" x14ac:dyDescent="0.35">
      <c r="G78" s="5">
        <v>15</v>
      </c>
      <c r="H78" s="6">
        <v>3.0300000000000014E-2</v>
      </c>
      <c r="I78" s="27">
        <v>15</v>
      </c>
      <c r="J78" s="6">
        <v>3.1185098821481804E-2</v>
      </c>
    </row>
    <row r="79" spans="7:10" x14ac:dyDescent="0.35">
      <c r="G79" s="5">
        <v>15.25</v>
      </c>
      <c r="H79" s="6">
        <v>3.0315000000000016E-2</v>
      </c>
      <c r="I79" s="27">
        <v>15.25</v>
      </c>
      <c r="J79" s="6">
        <v>3.1215102171054634E-2</v>
      </c>
    </row>
    <row r="80" spans="7:10" x14ac:dyDescent="0.35">
      <c r="G80" s="5">
        <v>15.5</v>
      </c>
      <c r="H80" s="6">
        <v>3.0330000000000013E-2</v>
      </c>
      <c r="I80" s="27">
        <v>15.5</v>
      </c>
      <c r="J80" s="6">
        <v>3.1245105576550039E-2</v>
      </c>
    </row>
    <row r="81" spans="7:10" x14ac:dyDescent="0.35">
      <c r="G81" s="5">
        <v>15.75</v>
      </c>
      <c r="H81" s="6">
        <v>3.0345000000000011E-2</v>
      </c>
      <c r="I81" s="27">
        <v>15.75</v>
      </c>
      <c r="J81" s="6">
        <v>3.1275109037749368E-2</v>
      </c>
    </row>
    <row r="82" spans="7:10" x14ac:dyDescent="0.35">
      <c r="G82" s="5">
        <v>16</v>
      </c>
      <c r="H82" s="6">
        <v>3.0360000000000012E-2</v>
      </c>
      <c r="I82" s="27">
        <v>16</v>
      </c>
      <c r="J82" s="6">
        <v>3.1305112554873886E-2</v>
      </c>
    </row>
    <row r="83" spans="7:10" x14ac:dyDescent="0.35">
      <c r="G83" s="5">
        <v>16.25</v>
      </c>
      <c r="H83" s="6">
        <v>3.0375000000000013E-2</v>
      </c>
      <c r="I83" s="27">
        <v>16.25</v>
      </c>
      <c r="J83" s="6">
        <v>3.1335116127755941E-2</v>
      </c>
    </row>
    <row r="84" spans="7:10" x14ac:dyDescent="0.35">
      <c r="G84" s="5">
        <v>16.5</v>
      </c>
      <c r="H84" s="6">
        <v>3.0390000000000011E-2</v>
      </c>
      <c r="I84" s="27">
        <v>16.5</v>
      </c>
      <c r="J84" s="6">
        <v>3.1365119756392459E-2</v>
      </c>
    </row>
    <row r="85" spans="7:10" x14ac:dyDescent="0.35">
      <c r="G85" s="5">
        <v>16.75</v>
      </c>
      <c r="H85" s="6">
        <v>3.0405000000000008E-2</v>
      </c>
      <c r="I85" s="27">
        <v>16.75</v>
      </c>
      <c r="J85" s="6">
        <v>3.1395123440958413E-2</v>
      </c>
    </row>
    <row r="86" spans="7:10" x14ac:dyDescent="0.35">
      <c r="G86" s="5">
        <v>17</v>
      </c>
      <c r="H86" s="6">
        <v>3.042000000000001E-2</v>
      </c>
      <c r="I86" s="27">
        <v>17</v>
      </c>
      <c r="J86" s="6">
        <v>3.1425127181277254E-2</v>
      </c>
    </row>
    <row r="87" spans="7:10" x14ac:dyDescent="0.35">
      <c r="G87" s="5">
        <v>17.25</v>
      </c>
      <c r="H87" s="6">
        <v>3.0435000000000011E-2</v>
      </c>
      <c r="I87" s="27">
        <v>17.25</v>
      </c>
      <c r="J87" s="6">
        <v>3.1455130977347388E-2</v>
      </c>
    </row>
    <row r="88" spans="7:10" x14ac:dyDescent="0.35">
      <c r="G88" s="5">
        <v>17.5</v>
      </c>
      <c r="H88" s="6">
        <v>3.0450000000000008E-2</v>
      </c>
      <c r="I88" s="27">
        <v>17.5</v>
      </c>
      <c r="J88" s="6">
        <v>3.148513482934949E-2</v>
      </c>
    </row>
    <row r="89" spans="7:10" x14ac:dyDescent="0.35">
      <c r="G89" s="5">
        <v>17.75</v>
      </c>
      <c r="H89" s="6">
        <v>3.0465000000000006E-2</v>
      </c>
      <c r="I89" s="27">
        <v>17.75</v>
      </c>
      <c r="J89" s="6">
        <v>3.1515138737102988E-2</v>
      </c>
    </row>
    <row r="90" spans="7:10" x14ac:dyDescent="0.35">
      <c r="G90" s="5">
        <v>18</v>
      </c>
      <c r="H90" s="6">
        <v>3.0480000000000007E-2</v>
      </c>
      <c r="I90" s="27">
        <v>18</v>
      </c>
      <c r="J90" s="6">
        <v>3.1545142700601339E-2</v>
      </c>
    </row>
    <row r="91" spans="7:10" x14ac:dyDescent="0.35">
      <c r="G91" s="5">
        <v>18.25</v>
      </c>
      <c r="H91" s="6">
        <v>3.0495000000000008E-2</v>
      </c>
      <c r="I91" s="27">
        <v>18.25</v>
      </c>
      <c r="J91" s="6">
        <v>3.1575146720038243E-2</v>
      </c>
    </row>
    <row r="92" spans="7:10" x14ac:dyDescent="0.35">
      <c r="G92" s="5">
        <v>18.5</v>
      </c>
      <c r="H92" s="6">
        <v>3.0510000000000006E-2</v>
      </c>
      <c r="I92" s="27">
        <v>18.5</v>
      </c>
      <c r="J92" s="6">
        <v>3.160515079515408E-2</v>
      </c>
    </row>
    <row r="93" spans="7:10" x14ac:dyDescent="0.35">
      <c r="G93" s="5">
        <v>18.75</v>
      </c>
      <c r="H93" s="6">
        <v>3.0525000000000004E-2</v>
      </c>
      <c r="I93" s="27">
        <v>18.75</v>
      </c>
      <c r="J93" s="6">
        <v>3.1635154926210912E-2</v>
      </c>
    </row>
    <row r="94" spans="7:10" x14ac:dyDescent="0.35">
      <c r="G94" s="5">
        <v>19</v>
      </c>
      <c r="H94" s="6">
        <v>3.0540000000000005E-2</v>
      </c>
      <c r="I94" s="27">
        <v>19</v>
      </c>
      <c r="J94" s="6">
        <v>3.1665159113010842E-2</v>
      </c>
    </row>
    <row r="95" spans="7:10" x14ac:dyDescent="0.35">
      <c r="G95" s="5">
        <v>19.25</v>
      </c>
      <c r="H95" s="6">
        <v>3.0555000000000006E-2</v>
      </c>
      <c r="I95" s="27">
        <v>19.25</v>
      </c>
      <c r="J95" s="6">
        <v>3.1695163355551073E-2</v>
      </c>
    </row>
    <row r="96" spans="7:10" x14ac:dyDescent="0.35">
      <c r="G96" s="5">
        <v>19.5</v>
      </c>
      <c r="H96" s="6">
        <v>3.0570000000000003E-2</v>
      </c>
      <c r="I96" s="27">
        <v>19.5</v>
      </c>
      <c r="J96" s="6">
        <v>3.1725167654034304E-2</v>
      </c>
    </row>
    <row r="97" spans="7:10" x14ac:dyDescent="0.35">
      <c r="G97" s="5">
        <v>19.75</v>
      </c>
      <c r="H97" s="6">
        <v>3.0585000000000001E-2</v>
      </c>
      <c r="I97" s="27">
        <v>19.75</v>
      </c>
      <c r="J97" s="6">
        <v>3.1755172008257407E-2</v>
      </c>
    </row>
    <row r="98" spans="7:10" x14ac:dyDescent="0.35">
      <c r="G98" s="5">
        <v>20</v>
      </c>
      <c r="H98" s="6">
        <v>3.0600000000000002E-2</v>
      </c>
      <c r="I98" s="27">
        <v>20</v>
      </c>
      <c r="J98" s="6">
        <v>3.1785176418217091E-2</v>
      </c>
    </row>
    <row r="99" spans="7:10" x14ac:dyDescent="0.35">
      <c r="G99" s="5">
        <v>20.25</v>
      </c>
      <c r="H99" s="6">
        <v>3.0617500000000002E-2</v>
      </c>
      <c r="I99" s="27">
        <v>20.25</v>
      </c>
      <c r="J99" s="6">
        <v>3.2017746207395906E-2</v>
      </c>
    </row>
    <row r="100" spans="7:10" x14ac:dyDescent="0.35">
      <c r="G100" s="5">
        <v>20.5</v>
      </c>
      <c r="H100" s="6">
        <v>3.0635000000000003E-2</v>
      </c>
      <c r="I100" s="27">
        <v>20.5</v>
      </c>
      <c r="J100" s="6">
        <v>3.2052752361850616E-2</v>
      </c>
    </row>
    <row r="101" spans="7:10" x14ac:dyDescent="0.35">
      <c r="G101" s="5">
        <v>20.75</v>
      </c>
      <c r="H101" s="6">
        <v>3.0652500000000003E-2</v>
      </c>
      <c r="I101" s="27">
        <v>20.75</v>
      </c>
      <c r="J101" s="6">
        <v>3.2087758592258007E-2</v>
      </c>
    </row>
    <row r="102" spans="7:10" x14ac:dyDescent="0.35">
      <c r="G102" s="5">
        <v>21</v>
      </c>
      <c r="H102" s="6">
        <v>3.0670000000000003E-2</v>
      </c>
      <c r="I102" s="27">
        <v>21</v>
      </c>
      <c r="J102" s="6">
        <v>3.2122764898545403E-2</v>
      </c>
    </row>
    <row r="103" spans="7:10" x14ac:dyDescent="0.35">
      <c r="G103" s="5">
        <v>21.25</v>
      </c>
      <c r="H103" s="6">
        <v>3.0687500000000003E-2</v>
      </c>
      <c r="I103" s="27">
        <v>21.25</v>
      </c>
      <c r="J103" s="6">
        <v>3.2157771280932633E-2</v>
      </c>
    </row>
    <row r="104" spans="7:10" x14ac:dyDescent="0.35">
      <c r="G104" s="5">
        <v>21.5</v>
      </c>
      <c r="H104" s="6">
        <v>3.0705000000000003E-2</v>
      </c>
      <c r="I104" s="27">
        <v>21.5</v>
      </c>
      <c r="J104" s="6">
        <v>3.21927777391985E-2</v>
      </c>
    </row>
    <row r="105" spans="7:10" x14ac:dyDescent="0.35">
      <c r="G105" s="5">
        <v>21.75</v>
      </c>
      <c r="H105" s="6">
        <v>3.0722500000000003E-2</v>
      </c>
      <c r="I105" s="27">
        <v>21.75</v>
      </c>
      <c r="J105" s="6">
        <v>3.2227784273415619E-2</v>
      </c>
    </row>
    <row r="106" spans="7:10" x14ac:dyDescent="0.35">
      <c r="G106" s="5">
        <v>22</v>
      </c>
      <c r="H106" s="6">
        <v>3.0740000000000003E-2</v>
      </c>
      <c r="I106" s="27">
        <v>22</v>
      </c>
      <c r="J106" s="6">
        <v>3.2262790883504998E-2</v>
      </c>
    </row>
    <row r="107" spans="7:10" x14ac:dyDescent="0.35">
      <c r="G107" s="5">
        <v>22.25</v>
      </c>
      <c r="H107" s="6">
        <v>3.0757500000000004E-2</v>
      </c>
      <c r="I107" s="27">
        <v>22.25</v>
      </c>
      <c r="J107" s="6">
        <v>3.2297797569700089E-2</v>
      </c>
    </row>
    <row r="108" spans="7:10" x14ac:dyDescent="0.35">
      <c r="G108" s="5">
        <v>22.5</v>
      </c>
      <c r="H108" s="6">
        <v>3.0775000000000004E-2</v>
      </c>
      <c r="I108" s="27">
        <v>22.5</v>
      </c>
      <c r="J108" s="6">
        <v>3.2332804331766378E-2</v>
      </c>
    </row>
    <row r="109" spans="7:10" x14ac:dyDescent="0.35">
      <c r="G109" s="5">
        <v>22.75</v>
      </c>
      <c r="H109" s="6">
        <v>3.0792500000000004E-2</v>
      </c>
      <c r="I109" s="27">
        <v>22.75</v>
      </c>
      <c r="J109" s="6">
        <v>3.2367811169781754E-2</v>
      </c>
    </row>
    <row r="110" spans="7:10" x14ac:dyDescent="0.35">
      <c r="G110" s="5">
        <v>23</v>
      </c>
      <c r="H110" s="6">
        <v>3.0810000000000004E-2</v>
      </c>
      <c r="I110" s="27">
        <v>23</v>
      </c>
      <c r="J110" s="6">
        <v>3.2402818083663139E-2</v>
      </c>
    </row>
    <row r="111" spans="7:10" x14ac:dyDescent="0.35">
      <c r="G111" s="5">
        <v>23.25</v>
      </c>
      <c r="H111" s="6">
        <v>3.0827500000000004E-2</v>
      </c>
      <c r="I111" s="27">
        <v>23.25</v>
      </c>
      <c r="J111" s="6">
        <v>3.2437825073654641E-2</v>
      </c>
    </row>
    <row r="112" spans="7:10" x14ac:dyDescent="0.35">
      <c r="G112" s="5">
        <v>23.5</v>
      </c>
      <c r="H112" s="6">
        <v>3.0845000000000004E-2</v>
      </c>
      <c r="I112" s="27">
        <v>23.5</v>
      </c>
      <c r="J112" s="6">
        <v>3.2472832139511645E-2</v>
      </c>
    </row>
    <row r="113" spans="7:10" x14ac:dyDescent="0.35">
      <c r="G113" s="5">
        <v>23.75</v>
      </c>
      <c r="H113" s="6">
        <v>3.0862500000000005E-2</v>
      </c>
      <c r="I113" s="27">
        <v>23.75</v>
      </c>
      <c r="J113" s="6">
        <v>3.2507839281230987E-2</v>
      </c>
    </row>
    <row r="114" spans="7:10" x14ac:dyDescent="0.35">
      <c r="G114" s="5">
        <v>24</v>
      </c>
      <c r="H114" s="6">
        <v>3.0880000000000005E-2</v>
      </c>
      <c r="I114" s="27">
        <v>24</v>
      </c>
      <c r="J114" s="6">
        <v>3.2542846499062E-2</v>
      </c>
    </row>
    <row r="115" spans="7:10" x14ac:dyDescent="0.35">
      <c r="G115" s="5">
        <v>24.25</v>
      </c>
      <c r="H115" s="6">
        <v>3.0897500000000005E-2</v>
      </c>
      <c r="I115" s="27">
        <v>24.25</v>
      </c>
      <c r="J115" s="6">
        <v>3.257785379275515E-2</v>
      </c>
    </row>
    <row r="116" spans="7:10" x14ac:dyDescent="0.35">
      <c r="G116" s="5">
        <v>24.5</v>
      </c>
      <c r="H116" s="6">
        <v>3.0915000000000005E-2</v>
      </c>
      <c r="I116" s="27">
        <v>24.5</v>
      </c>
      <c r="J116" s="6">
        <v>3.2612861162392065E-2</v>
      </c>
    </row>
    <row r="117" spans="7:10" x14ac:dyDescent="0.35">
      <c r="G117" s="5">
        <v>24.75</v>
      </c>
      <c r="H117" s="6">
        <v>3.0932500000000005E-2</v>
      </c>
      <c r="I117" s="27">
        <v>24.75</v>
      </c>
      <c r="J117" s="6">
        <v>3.2647868607883844E-2</v>
      </c>
    </row>
    <row r="118" spans="7:10" x14ac:dyDescent="0.35">
      <c r="G118" s="5">
        <v>25</v>
      </c>
      <c r="H118" s="6">
        <v>3.0950000000000005E-2</v>
      </c>
      <c r="I118" s="27">
        <v>25</v>
      </c>
      <c r="J118" s="6">
        <v>3.2682876129494283E-2</v>
      </c>
    </row>
    <row r="119" spans="7:10" x14ac:dyDescent="0.35">
      <c r="G119" s="5">
        <v>25.25</v>
      </c>
      <c r="H119" s="6">
        <v>3.0967500000000005E-2</v>
      </c>
      <c r="I119" s="27">
        <v>25.25</v>
      </c>
      <c r="J119" s="6">
        <v>3.271788372695901E-2</v>
      </c>
    </row>
    <row r="120" spans="7:10" x14ac:dyDescent="0.35">
      <c r="G120" s="5">
        <v>25.5</v>
      </c>
      <c r="H120" s="6">
        <v>3.0985000000000006E-2</v>
      </c>
      <c r="I120" s="27">
        <v>25.5</v>
      </c>
      <c r="J120" s="6">
        <v>3.2752891400364866E-2</v>
      </c>
    </row>
    <row r="121" spans="7:10" x14ac:dyDescent="0.35">
      <c r="G121" s="5">
        <v>25.75</v>
      </c>
      <c r="H121" s="6">
        <v>3.1002500000000006E-2</v>
      </c>
      <c r="I121" s="27">
        <v>25.75</v>
      </c>
      <c r="J121" s="6">
        <v>3.2787899149620631E-2</v>
      </c>
    </row>
    <row r="122" spans="7:10" x14ac:dyDescent="0.35">
      <c r="G122" s="5">
        <v>26</v>
      </c>
      <c r="H122" s="6">
        <v>3.1020000000000006E-2</v>
      </c>
      <c r="I122" s="27">
        <v>26</v>
      </c>
      <c r="J122" s="6">
        <v>3.2822906974997415E-2</v>
      </c>
    </row>
    <row r="123" spans="7:10" x14ac:dyDescent="0.35">
      <c r="G123" s="5">
        <v>26.25</v>
      </c>
      <c r="H123" s="6">
        <v>3.1037500000000006E-2</v>
      </c>
      <c r="I123" s="27">
        <v>26.25</v>
      </c>
      <c r="J123" s="6">
        <v>3.2857914876224192E-2</v>
      </c>
    </row>
    <row r="124" spans="7:10" x14ac:dyDescent="0.35">
      <c r="G124" s="5">
        <v>26.5</v>
      </c>
      <c r="H124" s="6">
        <v>3.1055000000000006E-2</v>
      </c>
      <c r="I124" s="27">
        <v>26.5</v>
      </c>
      <c r="J124" s="6">
        <v>3.2892922853389059E-2</v>
      </c>
    </row>
    <row r="125" spans="7:10" x14ac:dyDescent="0.35">
      <c r="G125" s="5">
        <v>26.75</v>
      </c>
      <c r="H125" s="6">
        <v>3.1072500000000006E-2</v>
      </c>
      <c r="I125" s="27">
        <v>26.75</v>
      </c>
      <c r="J125" s="6">
        <v>3.2927930906397111E-2</v>
      </c>
    </row>
    <row r="126" spans="7:10" x14ac:dyDescent="0.35">
      <c r="G126" s="5">
        <v>27</v>
      </c>
      <c r="H126" s="6">
        <v>3.1090000000000007E-2</v>
      </c>
      <c r="I126" s="27">
        <v>27</v>
      </c>
      <c r="J126" s="6">
        <v>3.2962939035530818E-2</v>
      </c>
    </row>
    <row r="127" spans="7:10" x14ac:dyDescent="0.35">
      <c r="G127" s="5">
        <v>27.25</v>
      </c>
      <c r="H127" s="6">
        <v>3.1107500000000007E-2</v>
      </c>
      <c r="I127" s="27">
        <v>27.25</v>
      </c>
      <c r="J127" s="6">
        <v>3.2997947240508543E-2</v>
      </c>
    </row>
    <row r="128" spans="7:10" x14ac:dyDescent="0.35">
      <c r="G128" s="5">
        <v>27.5</v>
      </c>
      <c r="H128" s="6">
        <v>3.1125000000000007E-2</v>
      </c>
      <c r="I128" s="27">
        <v>27.5</v>
      </c>
      <c r="J128" s="6">
        <v>3.3032955521420673E-2</v>
      </c>
    </row>
    <row r="129" spans="7:10" x14ac:dyDescent="0.35">
      <c r="G129" s="5">
        <v>27.75</v>
      </c>
      <c r="H129" s="6">
        <v>3.1142500000000007E-2</v>
      </c>
      <c r="I129" s="27">
        <v>27.75</v>
      </c>
      <c r="J129" s="6">
        <v>3.306796387817152E-2</v>
      </c>
    </row>
    <row r="130" spans="7:10" x14ac:dyDescent="0.35">
      <c r="G130" s="5">
        <v>28</v>
      </c>
      <c r="H130" s="6">
        <v>3.1160000000000007E-2</v>
      </c>
      <c r="I130" s="27">
        <v>28</v>
      </c>
      <c r="J130" s="6">
        <v>3.3102972311051776E-2</v>
      </c>
    </row>
    <row r="131" spans="7:10" x14ac:dyDescent="0.35">
      <c r="G131" s="5">
        <v>28.25</v>
      </c>
      <c r="H131" s="6">
        <v>3.1177500000000007E-2</v>
      </c>
      <c r="I131" s="27">
        <v>28.25</v>
      </c>
      <c r="J131" s="6">
        <v>3.3137980819768882E-2</v>
      </c>
    </row>
    <row r="132" spans="7:10" x14ac:dyDescent="0.35">
      <c r="G132" s="5">
        <v>28.5</v>
      </c>
      <c r="H132" s="6">
        <v>3.1195000000000007E-2</v>
      </c>
      <c r="I132" s="27">
        <v>28.5</v>
      </c>
      <c r="J132" s="6">
        <v>3.3172989404419678E-2</v>
      </c>
    </row>
    <row r="133" spans="7:10" x14ac:dyDescent="0.35">
      <c r="G133" s="5">
        <v>28.75</v>
      </c>
      <c r="H133" s="6">
        <v>3.1212500000000008E-2</v>
      </c>
      <c r="I133" s="27">
        <v>28.75</v>
      </c>
      <c r="J133" s="6">
        <v>3.3207998064900511E-2</v>
      </c>
    </row>
    <row r="134" spans="7:10" x14ac:dyDescent="0.35">
      <c r="G134" s="5">
        <v>29</v>
      </c>
      <c r="H134" s="6">
        <v>3.1230000000000008E-2</v>
      </c>
      <c r="I134" s="27">
        <v>29</v>
      </c>
      <c r="J134" s="6">
        <v>3.3243006801518045E-2</v>
      </c>
    </row>
    <row r="135" spans="7:10" x14ac:dyDescent="0.35">
      <c r="G135" s="5">
        <v>29.25</v>
      </c>
      <c r="H135" s="6">
        <v>3.1247500000000004E-2</v>
      </c>
      <c r="I135" s="27">
        <v>29.25</v>
      </c>
      <c r="J135" s="6">
        <v>3.3278015613964165E-2</v>
      </c>
    </row>
    <row r="136" spans="7:10" x14ac:dyDescent="0.35">
      <c r="G136" s="5">
        <v>29.5</v>
      </c>
      <c r="H136" s="6">
        <v>3.1265000000000001E-2</v>
      </c>
      <c r="I136" s="27">
        <v>29.5</v>
      </c>
      <c r="J136" s="6">
        <v>3.3313024502342289E-2</v>
      </c>
    </row>
    <row r="137" spans="7:10" x14ac:dyDescent="0.35">
      <c r="G137" s="5">
        <v>29.75</v>
      </c>
      <c r="H137" s="6">
        <v>3.1282500000000005E-2</v>
      </c>
      <c r="I137" s="27">
        <v>29.75</v>
      </c>
      <c r="J137" s="6">
        <v>3.3348033466544358E-2</v>
      </c>
    </row>
    <row r="138" spans="7:10" x14ac:dyDescent="0.35">
      <c r="G138" s="5">
        <v>30</v>
      </c>
      <c r="H138" s="6">
        <v>3.1300000000000001E-2</v>
      </c>
      <c r="I138" s="27">
        <v>30</v>
      </c>
      <c r="J138" s="6">
        <v>3.3383042506886451E-2</v>
      </c>
    </row>
  </sheetData>
  <mergeCells count="6">
    <mergeCell ref="N18:O18"/>
    <mergeCell ref="A1:A2"/>
    <mergeCell ref="B1:P2"/>
    <mergeCell ref="B3:P3"/>
    <mergeCell ref="B4:P4"/>
    <mergeCell ref="B5:P5"/>
  </mergeCells>
  <conditionalFormatting sqref="G19:H108">
    <cfRule type="cellIs" dxfId="6" priority="9" operator="equal">
      <formula>#N/A</formula>
    </cfRule>
  </conditionalFormatting>
  <conditionalFormatting sqref="G109:H138">
    <cfRule type="cellIs" dxfId="5" priority="8" operator="equal">
      <formula>#N/A</formula>
    </cfRule>
  </conditionalFormatting>
  <conditionalFormatting sqref="I19:I108">
    <cfRule type="cellIs" dxfId="4" priority="5" operator="equal">
      <formula>#N/A</formula>
    </cfRule>
  </conditionalFormatting>
  <conditionalFormatting sqref="I109:I138">
    <cfRule type="cellIs" dxfId="3" priority="4" operator="equal">
      <formula>#N/A</formula>
    </cfRule>
  </conditionalFormatting>
  <conditionalFormatting sqref="J19:J108">
    <cfRule type="cellIs" dxfId="2" priority="3" operator="equal">
      <formula>#N/A</formula>
    </cfRule>
  </conditionalFormatting>
  <conditionalFormatting sqref="J109:J138">
    <cfRule type="cellIs" dxfId="1" priority="2" operator="equal">
      <formula>#N/A</formula>
    </cfRule>
  </conditionalFormatting>
  <conditionalFormatting sqref="N31:N50">
    <cfRule type="cellIs" dxfId="0" priority="1" operator="equal">
      <formula>#N/A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Homework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</cp:lastModifiedBy>
  <dcterms:created xsi:type="dcterms:W3CDTF">2006-09-16T00:00:00Z</dcterms:created>
  <dcterms:modified xsi:type="dcterms:W3CDTF">2018-06-08T15:35:30Z</dcterms:modified>
</cp:coreProperties>
</file>