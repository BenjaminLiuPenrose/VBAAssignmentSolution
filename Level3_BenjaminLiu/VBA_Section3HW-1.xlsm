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_project\VBAAssignmentSolution\Level3_BenjaminLiu\"/>
    </mc:Choice>
  </mc:AlternateContent>
  <xr:revisionPtr revIDLastSave="0" documentId="13_ncr:1_{BE5310FF-B65C-48D3-BC6A-E533709272B0}" xr6:coauthVersionLast="32" xr6:coauthVersionMax="32" xr10:uidLastSave="{00000000-0000-0000-0000-000000000000}"/>
  <bookViews>
    <workbookView xWindow="0" yWindow="0" windowWidth="14380" windowHeight="4160" xr2:uid="{00000000-000D-0000-FFFF-FFFF00000000}"/>
  </bookViews>
  <sheets>
    <sheet name="Homework" sheetId="3" r:id="rId1"/>
    <sheet name="BAPM" sheetId="1" r:id="rId2"/>
    <sheet name="BS" sheetId="2" r:id="rId3"/>
  </sheets>
  <functionGroups builtInGroupCount="19"/>
  <calcPr calcId="179017"/>
</workbook>
</file>

<file path=xl/calcChain.xml><?xml version="1.0" encoding="utf-8"?>
<calcChain xmlns="http://schemas.openxmlformats.org/spreadsheetml/2006/main">
  <c r="C14" i="1" l="1"/>
  <c r="E23" i="3"/>
  <c r="D20" i="3"/>
  <c r="C16" i="1"/>
  <c r="C13" i="2"/>
  <c r="C15" i="2"/>
  <c r="C15" i="1" l="1"/>
  <c r="C14" i="2"/>
</calcChain>
</file>

<file path=xl/sharedStrings.xml><?xml version="1.0" encoding="utf-8"?>
<sst xmlns="http://schemas.openxmlformats.org/spreadsheetml/2006/main" count="44" uniqueCount="23">
  <si>
    <t>Question 1:</t>
  </si>
  <si>
    <t>Question 2:</t>
  </si>
  <si>
    <t>Question 3:</t>
  </si>
  <si>
    <t>On this sheet, have a table of option inputs. Create a new VBA code that accepts these inputs and runs BS to calculate a price, and then runs BAPM repeatedly until the optimal node is found.</t>
  </si>
  <si>
    <r>
      <t xml:space="preserve">Build a Black Scholes option pricer </t>
    </r>
    <r>
      <rPr>
        <b/>
        <sz val="11"/>
        <color theme="1"/>
        <rFont val="Calibri"/>
        <family val="2"/>
        <scheme val="minor"/>
      </rPr>
      <t>as a FUNCTION not a sub</t>
    </r>
    <r>
      <rPr>
        <sz val="11"/>
        <color theme="1"/>
        <rFont val="Calibri"/>
        <family val="2"/>
        <scheme val="minor"/>
      </rPr>
      <t xml:space="preserve">. Have the inputs AND outputs displayed on worksheet "BS". </t>
    </r>
  </si>
  <si>
    <t xml:space="preserve">Build a BAPM option pricer function. Have the inputs AND outputs displayed on worksheet "BAPM". </t>
  </si>
  <si>
    <t>BSPrice Calculator</t>
  </si>
  <si>
    <t>flavor</t>
  </si>
  <si>
    <t>spot</t>
  </si>
  <si>
    <t>current period</t>
  </si>
  <si>
    <t>sigma</t>
  </si>
  <si>
    <t>strike</t>
  </si>
  <si>
    <t>divident yield</t>
  </si>
  <si>
    <t>discount rate</t>
  </si>
  <si>
    <t>call</t>
  </si>
  <si>
    <t>price</t>
  </si>
  <si>
    <t>maturity (in years)</t>
  </si>
  <si>
    <t>price quote</t>
  </si>
  <si>
    <t>&lt;--when I worked in investment bank derivs desk, we quote this rate to client instead. I think the reason is when S is small, option price becomes less than a cent</t>
  </si>
  <si>
    <t>BAPMPrice Calculator</t>
  </si>
  <si>
    <t>N</t>
  </si>
  <si>
    <t>price - BS</t>
  </si>
  <si>
    <t>price - BAPM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</si>
</sst>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/>
    <xf numFmtId="8" fontId="0" fillId="0" borderId="10" xfId="0" applyNumberFormat="1" applyBorder="1"/>
    <xf numFmtId="4" fontId="0" fillId="0" borderId="10" xfId="0" applyNumberFormat="1" applyBorder="1"/>
    <xf numFmtId="10" fontId="0" fillId="0" borderId="10" xfId="0" applyNumberFormat="1" applyBorder="1"/>
    <xf numFmtId="8" fontId="1" fillId="0" borderId="10" xfId="0" applyNumberFormat="1" applyFont="1" applyBorder="1"/>
    <xf numFmtId="10" fontId="1" fillId="0" borderId="10" xfId="0" applyNumberFormat="1" applyFont="1" applyBorder="1"/>
    <xf numFmtId="8" fontId="1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</xdr:colOff>
          <xdr:row>21</xdr:row>
          <xdr:rowOff>25400</xdr:rowOff>
        </xdr:from>
        <xdr:to>
          <xdr:col>6</xdr:col>
          <xdr:colOff>304800</xdr:colOff>
          <xdr:row>22</xdr:row>
          <xdr:rowOff>139700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865E310-98DF-43F0-90E4-808BF29F8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3"/>
  <sheetViews>
    <sheetView showGridLines="0" tabSelected="1" topLeftCell="B1" workbookViewId="0">
      <selection activeCell="E23" sqref="E23"/>
    </sheetView>
  </sheetViews>
  <sheetFormatPr defaultRowHeight="14.5" x14ac:dyDescent="0.35"/>
  <cols>
    <col min="1" max="1" width="12.453125" customWidth="1"/>
  </cols>
  <sheetData>
    <row r="1" spans="1:20" x14ac:dyDescent="0.35">
      <c r="A1" s="1" t="s">
        <v>0</v>
      </c>
      <c r="B1" s="4" t="s">
        <v>5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5"/>
    </row>
    <row r="2" spans="1:20" x14ac:dyDescent="0.35">
      <c r="A2" s="2" t="s">
        <v>1</v>
      </c>
      <c r="B2" s="6" t="s">
        <v>4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</row>
    <row r="3" spans="1:20" ht="15" thickBot="1" x14ac:dyDescent="0.4">
      <c r="A3" s="3" t="s">
        <v>2</v>
      </c>
      <c r="B3" s="8" t="s">
        <v>3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9"/>
    </row>
    <row r="11" spans="1:20" x14ac:dyDescent="0.35">
      <c r="C11" s="10" t="s">
        <v>7</v>
      </c>
      <c r="D11" s="10" t="s">
        <v>14</v>
      </c>
    </row>
    <row r="12" spans="1:20" x14ac:dyDescent="0.35">
      <c r="C12" s="10" t="s">
        <v>8</v>
      </c>
      <c r="D12" s="11">
        <v>100</v>
      </c>
    </row>
    <row r="13" spans="1:20" x14ac:dyDescent="0.35">
      <c r="C13" s="10" t="s">
        <v>9</v>
      </c>
      <c r="D13" s="12">
        <v>0</v>
      </c>
    </row>
    <row r="14" spans="1:20" x14ac:dyDescent="0.35">
      <c r="C14" s="10" t="s">
        <v>16</v>
      </c>
      <c r="D14" s="12">
        <v>1</v>
      </c>
    </row>
    <row r="15" spans="1:20" x14ac:dyDescent="0.35">
      <c r="C15" s="10" t="s">
        <v>13</v>
      </c>
      <c r="D15" s="13">
        <v>0.03</v>
      </c>
    </row>
    <row r="16" spans="1:20" x14ac:dyDescent="0.35">
      <c r="C16" s="10" t="s">
        <v>10</v>
      </c>
      <c r="D16" s="13">
        <v>0.3</v>
      </c>
    </row>
    <row r="17" spans="3:5" x14ac:dyDescent="0.35">
      <c r="C17" s="10" t="s">
        <v>11</v>
      </c>
      <c r="D17" s="11">
        <v>100</v>
      </c>
    </row>
    <row r="18" spans="3:5" x14ac:dyDescent="0.35">
      <c r="C18" s="10" t="s">
        <v>12</v>
      </c>
      <c r="D18" s="13">
        <v>0.01</v>
      </c>
    </row>
    <row r="20" spans="3:5" x14ac:dyDescent="0.35">
      <c r="C20" s="10" t="s">
        <v>21</v>
      </c>
      <c r="D20" s="14">
        <f>BSPrice(D11,D12,D13,D14,D15,D16,D17,D18)</f>
        <v>12.694004526235567</v>
      </c>
    </row>
    <row r="22" spans="3:5" x14ac:dyDescent="0.35">
      <c r="C22" s="10" t="s">
        <v>20</v>
      </c>
      <c r="D22" s="12">
        <v>853</v>
      </c>
    </row>
    <row r="23" spans="3:5" x14ac:dyDescent="0.35">
      <c r="C23" s="10" t="s">
        <v>22</v>
      </c>
      <c r="D23" s="14">
        <v>12.698992693371624</v>
      </c>
      <c r="E23" s="16">
        <f>BAPMPrice(D11,D22,D12,D13,D14,D15,D16,D17,D18)</f>
        <v>12.698992693371624</v>
      </c>
    </row>
  </sheetData>
  <mergeCells count="3">
    <mergeCell ref="B1:T1"/>
    <mergeCell ref="B2:T2"/>
    <mergeCell ref="B3:T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82550</xdr:colOff>
                <xdr:row>21</xdr:row>
                <xdr:rowOff>25400</xdr:rowOff>
              </from>
              <to>
                <xdr:col>6</xdr:col>
                <xdr:colOff>304800</xdr:colOff>
                <xdr:row>22</xdr:row>
                <xdr:rowOff>139700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C16"/>
  <sheetViews>
    <sheetView showGridLines="0" workbookViewId="0">
      <selection activeCell="C14" sqref="C14"/>
    </sheetView>
  </sheetViews>
  <sheetFormatPr defaultRowHeight="14.5" x14ac:dyDescent="0.35"/>
  <sheetData>
    <row r="3" spans="2:3" x14ac:dyDescent="0.35">
      <c r="B3" t="s">
        <v>19</v>
      </c>
    </row>
    <row r="4" spans="2:3" x14ac:dyDescent="0.35">
      <c r="B4" s="10" t="s">
        <v>7</v>
      </c>
      <c r="C4" s="10" t="s">
        <v>14</v>
      </c>
    </row>
    <row r="5" spans="2:3" x14ac:dyDescent="0.35">
      <c r="B5" s="10" t="s">
        <v>8</v>
      </c>
      <c r="C5" s="11">
        <v>100</v>
      </c>
    </row>
    <row r="6" spans="2:3" x14ac:dyDescent="0.35">
      <c r="B6" s="10" t="s">
        <v>9</v>
      </c>
      <c r="C6" s="12">
        <v>0</v>
      </c>
    </row>
    <row r="7" spans="2:3" x14ac:dyDescent="0.35">
      <c r="B7" s="10" t="s">
        <v>16</v>
      </c>
      <c r="C7" s="12">
        <v>1</v>
      </c>
    </row>
    <row r="8" spans="2:3" x14ac:dyDescent="0.35">
      <c r="B8" s="10" t="s">
        <v>13</v>
      </c>
      <c r="C8" s="13">
        <v>0.03</v>
      </c>
    </row>
    <row r="9" spans="2:3" x14ac:dyDescent="0.35">
      <c r="B9" s="10" t="s">
        <v>10</v>
      </c>
      <c r="C9" s="13">
        <v>0.3</v>
      </c>
    </row>
    <row r="10" spans="2:3" x14ac:dyDescent="0.35">
      <c r="B10" s="10" t="s">
        <v>11</v>
      </c>
      <c r="C10" s="11">
        <v>100</v>
      </c>
    </row>
    <row r="11" spans="2:3" x14ac:dyDescent="0.35">
      <c r="B11" s="10" t="s">
        <v>12</v>
      </c>
      <c r="C11" s="13">
        <v>0.01</v>
      </c>
    </row>
    <row r="12" spans="2:3" x14ac:dyDescent="0.35">
      <c r="B12" s="10" t="s">
        <v>20</v>
      </c>
      <c r="C12" s="12">
        <v>800</v>
      </c>
    </row>
    <row r="14" spans="2:3" x14ac:dyDescent="0.35">
      <c r="B14" s="10" t="s">
        <v>15</v>
      </c>
      <c r="C14" s="14">
        <f>BAPMPrice($C$4,$C$12,$C$5,$C$6,$C$7,$C$8,$C$9,$C$10,$C$11)</f>
        <v>12.72455963807842</v>
      </c>
    </row>
    <row r="15" spans="2:3" x14ac:dyDescent="0.35">
      <c r="B15" s="10" t="s">
        <v>17</v>
      </c>
      <c r="C15" s="15">
        <f>$C$14/$C$5</f>
        <v>0.1272455963807842</v>
      </c>
    </row>
    <row r="16" spans="2:3" x14ac:dyDescent="0.35">
      <c r="C16" t="str">
        <f>BAPMPrice_helper()</f>
        <v>flavor as string, N as integer, S as double, period as double, T as double, r as double, sigma as double, K as double, q as double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D15"/>
  <sheetViews>
    <sheetView showGridLines="0" workbookViewId="0">
      <selection activeCell="C11" sqref="C11"/>
    </sheetView>
  </sheetViews>
  <sheetFormatPr defaultRowHeight="14.5" x14ac:dyDescent="0.35"/>
  <cols>
    <col min="2" max="2" width="13.81640625" customWidth="1"/>
    <col min="3" max="3" width="11" customWidth="1"/>
  </cols>
  <sheetData>
    <row r="3" spans="2:4" x14ac:dyDescent="0.35">
      <c r="B3" t="s">
        <v>6</v>
      </c>
    </row>
    <row r="4" spans="2:4" x14ac:dyDescent="0.35">
      <c r="B4" s="10" t="s">
        <v>7</v>
      </c>
      <c r="C4" s="10" t="s">
        <v>14</v>
      </c>
    </row>
    <row r="5" spans="2:4" x14ac:dyDescent="0.35">
      <c r="B5" s="10" t="s">
        <v>8</v>
      </c>
      <c r="C5" s="11">
        <v>100</v>
      </c>
    </row>
    <row r="6" spans="2:4" x14ac:dyDescent="0.35">
      <c r="B6" s="10" t="s">
        <v>9</v>
      </c>
      <c r="C6" s="12">
        <v>0</v>
      </c>
    </row>
    <row r="7" spans="2:4" x14ac:dyDescent="0.35">
      <c r="B7" s="10" t="s">
        <v>16</v>
      </c>
      <c r="C7" s="12">
        <v>1</v>
      </c>
    </row>
    <row r="8" spans="2:4" x14ac:dyDescent="0.35">
      <c r="B8" s="10" t="s">
        <v>13</v>
      </c>
      <c r="C8" s="13">
        <v>0.03</v>
      </c>
    </row>
    <row r="9" spans="2:4" x14ac:dyDescent="0.35">
      <c r="B9" s="10" t="s">
        <v>10</v>
      </c>
      <c r="C9" s="13">
        <v>0.3</v>
      </c>
    </row>
    <row r="10" spans="2:4" x14ac:dyDescent="0.35">
      <c r="B10" s="10" t="s">
        <v>11</v>
      </c>
      <c r="C10" s="11">
        <v>100</v>
      </c>
    </row>
    <row r="11" spans="2:4" x14ac:dyDescent="0.35">
      <c r="B11" s="10" t="s">
        <v>12</v>
      </c>
      <c r="C11" s="13">
        <v>0.01</v>
      </c>
    </row>
    <row r="13" spans="2:4" x14ac:dyDescent="0.35">
      <c r="B13" s="10" t="s">
        <v>15</v>
      </c>
      <c r="C13" s="14">
        <f>BSPrice($C$4,$C$5,$C$6,$C$7,$C$8,$C$9,$C$10,$C$11)</f>
        <v>12.694004526235567</v>
      </c>
    </row>
    <row r="14" spans="2:4" x14ac:dyDescent="0.35">
      <c r="B14" s="10" t="s">
        <v>17</v>
      </c>
      <c r="C14" s="15">
        <f>$C$13/$C$5</f>
        <v>0.12694004526235567</v>
      </c>
      <c r="D14" t="s">
        <v>18</v>
      </c>
    </row>
    <row r="15" spans="2:4" x14ac:dyDescent="0.35">
      <c r="C15" t="str">
        <f>BSPrice_helper()</f>
        <v>flavor As String, S As Double, period As Double, T As Double, r As Double, sigma As Double, K As Double, q As Double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Homework</vt:lpstr>
      <vt:lpstr>BAPM</vt:lpstr>
      <vt:lpstr>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Benjamin</cp:lastModifiedBy>
  <dcterms:created xsi:type="dcterms:W3CDTF">2006-09-16T00:00:00Z</dcterms:created>
  <dcterms:modified xsi:type="dcterms:W3CDTF">2018-05-15T14:59:32Z</dcterms:modified>
</cp:coreProperties>
</file>