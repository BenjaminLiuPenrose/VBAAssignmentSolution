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4_BenjaminLiu\"/>
    </mc:Choice>
  </mc:AlternateContent>
  <xr:revisionPtr revIDLastSave="0" documentId="13_ncr:1_{C326A057-0673-4A2B-8741-3D5BEBDEAD66}" xr6:coauthVersionLast="33" xr6:coauthVersionMax="33" xr10:uidLastSave="{00000000-0000-0000-0000-000000000000}"/>
  <bookViews>
    <workbookView xWindow="0" yWindow="0" windowWidth="19200" windowHeight="7060" xr2:uid="{00000000-000D-0000-FFFF-FFFF00000000}"/>
  </bookViews>
  <sheets>
    <sheet name="Homework" sheetId="1" r:id="rId1"/>
    <sheet name="MarketData" sheetId="2" r:id="rId2"/>
  </sheets>
  <functionGroups builtInGroupCount="19"/>
  <definedNames>
    <definedName name="Output">MarketData!$N$5:$P$18</definedName>
  </definedNames>
  <calcPr calcId="179017"/>
</workbook>
</file>

<file path=xl/calcChain.xml><?xml version="1.0" encoding="utf-8"?>
<calcChain xmlns="http://schemas.openxmlformats.org/spreadsheetml/2006/main">
  <c r="C26" i="1" l="1"/>
  <c r="C25" i="1"/>
  <c r="C24" i="1"/>
  <c r="C23" i="1"/>
  <c r="C22" i="1"/>
  <c r="C21" i="1"/>
  <c r="H29" i="1" l="1"/>
  <c r="H31" i="1"/>
  <c r="C17" i="1" l="1"/>
  <c r="L6" i="2"/>
  <c r="L7" i="2"/>
  <c r="L8" i="2"/>
  <c r="L9" i="2"/>
  <c r="L10" i="2"/>
  <c r="L11" i="2"/>
  <c r="L12" i="2"/>
  <c r="L13" i="2"/>
  <c r="L14" i="2"/>
  <c r="L5" i="2"/>
  <c r="D66" i="2"/>
  <c r="D67" i="2"/>
  <c r="D68" i="2"/>
  <c r="D69" i="2"/>
  <c r="D70" i="2"/>
  <c r="D71" i="2"/>
  <c r="D72" i="2"/>
  <c r="D73" i="2"/>
  <c r="D74" i="2"/>
  <c r="D65" i="2"/>
  <c r="C66" i="2"/>
  <c r="C67" i="2"/>
  <c r="C68" i="2"/>
  <c r="C69" i="2"/>
  <c r="C70" i="2"/>
  <c r="C71" i="2"/>
  <c r="C72" i="2"/>
  <c r="C73" i="2"/>
  <c r="C74" i="2"/>
  <c r="C65" i="2"/>
  <c r="R17" i="1"/>
  <c r="O17" i="1"/>
  <c r="L17" i="1"/>
  <c r="I17" i="1"/>
  <c r="F17" i="1"/>
  <c r="C29" i="1" l="1"/>
  <c r="K10" i="2"/>
  <c r="J12" i="2"/>
  <c r="G10" i="2"/>
  <c r="K6" i="2"/>
  <c r="J8" i="2"/>
  <c r="I10" i="2"/>
  <c r="I6" i="2"/>
  <c r="H12" i="2"/>
  <c r="H8" i="2"/>
  <c r="G6" i="2"/>
  <c r="K8" i="2"/>
  <c r="J10" i="2"/>
  <c r="J6" i="2"/>
  <c r="I12" i="2"/>
  <c r="I8" i="2"/>
  <c r="H10" i="2"/>
  <c r="H6" i="2"/>
  <c r="G12" i="2"/>
  <c r="G8" i="2"/>
  <c r="K11" i="2"/>
  <c r="K7" i="2"/>
  <c r="K12" i="2"/>
  <c r="K13" i="2"/>
  <c r="K9" i="2"/>
  <c r="K5" i="2"/>
  <c r="J11" i="2"/>
  <c r="J7" i="2"/>
  <c r="J9" i="2"/>
  <c r="J5" i="2"/>
  <c r="J13" i="2"/>
  <c r="I11" i="2"/>
  <c r="I7" i="2"/>
  <c r="I13" i="2"/>
  <c r="I9" i="2"/>
  <c r="I5" i="2"/>
  <c r="H11" i="2"/>
  <c r="H7" i="2"/>
  <c r="H13" i="2"/>
  <c r="H5" i="2"/>
  <c r="G11" i="2"/>
  <c r="G7" i="2"/>
  <c r="H9" i="2"/>
  <c r="G5" i="2"/>
  <c r="G13" i="2"/>
  <c r="G9" i="2"/>
  <c r="C56" i="2"/>
  <c r="C57" i="2" s="1"/>
  <c r="C58" i="2" s="1"/>
  <c r="C59" i="2" s="1"/>
  <c r="C60" i="2" s="1"/>
  <c r="C61" i="2" s="1"/>
  <c r="C62" i="2" s="1"/>
  <c r="C63" i="2" s="1"/>
  <c r="C64" i="2" s="1"/>
  <c r="C46" i="2"/>
  <c r="C47" i="2" s="1"/>
  <c r="C48" i="2" s="1"/>
  <c r="C49" i="2" s="1"/>
  <c r="C50" i="2" s="1"/>
  <c r="C51" i="2" s="1"/>
  <c r="C52" i="2" s="1"/>
  <c r="C53" i="2" s="1"/>
  <c r="C54" i="2" s="1"/>
  <c r="C36" i="2"/>
  <c r="C37" i="2" s="1"/>
  <c r="C38" i="2" s="1"/>
  <c r="C39" i="2" s="1"/>
  <c r="C40" i="2" s="1"/>
  <c r="C41" i="2" s="1"/>
  <c r="C42" i="2" s="1"/>
  <c r="C43" i="2" s="1"/>
  <c r="C44" i="2" s="1"/>
  <c r="C26" i="2"/>
  <c r="C27" i="2" s="1"/>
  <c r="C28" i="2" s="1"/>
  <c r="C29" i="2" s="1"/>
  <c r="C30" i="2" s="1"/>
  <c r="C31" i="2" s="1"/>
  <c r="C32" i="2" s="1"/>
  <c r="C33" i="2" s="1"/>
  <c r="C34" i="2" s="1"/>
  <c r="C16" i="2"/>
  <c r="C17" i="2" s="1"/>
  <c r="C18" i="2" s="1"/>
  <c r="C19" i="2" s="1"/>
  <c r="C20" i="2" s="1"/>
  <c r="C21" i="2" s="1"/>
  <c r="C22" i="2" s="1"/>
  <c r="C23" i="2" s="1"/>
  <c r="C24" i="2" s="1"/>
  <c r="C6" i="2"/>
  <c r="F6" i="2" s="1"/>
  <c r="K4" i="2"/>
  <c r="J4" i="2"/>
  <c r="I4" i="2"/>
  <c r="H4" i="2"/>
  <c r="F5" i="2"/>
  <c r="F4" i="2"/>
  <c r="G4" i="2"/>
  <c r="C7" i="2" l="1"/>
  <c r="C8" i="2" s="1"/>
  <c r="C9" i="2" s="1"/>
  <c r="C10" i="2" s="1"/>
  <c r="C11" i="2" s="1"/>
  <c r="C12" i="2" s="1"/>
  <c r="C13" i="2" s="1"/>
  <c r="C14" i="2" s="1"/>
  <c r="K17" i="2"/>
  <c r="I15" i="2"/>
  <c r="O12" i="1" s="1"/>
  <c r="J15" i="2"/>
  <c r="L12" i="1" s="1"/>
  <c r="H15" i="2"/>
  <c r="I12" i="1" s="1"/>
  <c r="J17" i="2"/>
  <c r="J16" i="2"/>
  <c r="K16" i="2"/>
  <c r="K15" i="2"/>
  <c r="R12" i="1" s="1"/>
  <c r="I17" i="2"/>
  <c r="I16" i="2"/>
  <c r="G15" i="2"/>
  <c r="F12" i="1" s="1"/>
  <c r="H17" i="2"/>
  <c r="H16" i="2"/>
  <c r="G17" i="2"/>
  <c r="G16" i="2"/>
  <c r="G14" i="2"/>
  <c r="F13" i="1" s="1"/>
  <c r="K14" i="2"/>
  <c r="R13" i="1" s="1"/>
  <c r="I14" i="2"/>
  <c r="O13" i="1" s="1"/>
  <c r="J14" i="2"/>
  <c r="L13" i="1" s="1"/>
  <c r="H14" i="2"/>
  <c r="I13" i="1" s="1"/>
  <c r="L15" i="2" l="1"/>
  <c r="C12" i="1" s="1"/>
  <c r="L16" i="2"/>
  <c r="L17" i="2"/>
  <c r="C13" i="1"/>
  <c r="F7" i="2"/>
  <c r="F8" i="2" l="1"/>
  <c r="F9" i="2" l="1"/>
  <c r="F10" i="2" l="1"/>
  <c r="F11" i="2" l="1"/>
  <c r="F12" i="2" l="1"/>
  <c r="F13" i="2" l="1"/>
</calcChain>
</file>

<file path=xl/sharedStrings.xml><?xml version="1.0" encoding="utf-8"?>
<sst xmlns="http://schemas.openxmlformats.org/spreadsheetml/2006/main" count="155" uniqueCount="53">
  <si>
    <t>Question 1:</t>
  </si>
  <si>
    <t>Question 2:</t>
  </si>
  <si>
    <t>Question 3:</t>
  </si>
  <si>
    <t>Add a VaR function which calculates the portfolio and marginal var of a single instrument type.</t>
  </si>
  <si>
    <t>Question 4:</t>
  </si>
  <si>
    <t>Question 5:</t>
  </si>
  <si>
    <t>On this sheet there should be a button. This will run the marginal vars of all instruments and present the following information:</t>
  </si>
  <si>
    <t>A.</t>
  </si>
  <si>
    <t>B.</t>
  </si>
  <si>
    <t>C.</t>
  </si>
  <si>
    <t>Which instrument had the highest marginal VaR.</t>
  </si>
  <si>
    <t>What the portfolio VaR is.</t>
  </si>
  <si>
    <t>Code a Derivatives class.</t>
  </si>
  <si>
    <t>Code a Portfolio collections class.</t>
  </si>
  <si>
    <t>Build a generic dataset (use Rand() ) on page "MarketData". This dataset should have 10 trading days, with 5 different instrument types, each once a day; total of 50 rows.</t>
  </si>
  <si>
    <t>D.</t>
  </si>
  <si>
    <t>Removing which instrument from the portfolio would yield the best overall portfolio return. You must remove only 1 instrument.</t>
  </si>
  <si>
    <t>Removing which instrument from the portfolio would yield the lowest (most attractive) portfolio VaR. You must remove only 1 instrument.</t>
  </si>
  <si>
    <t>Equity</t>
  </si>
  <si>
    <t>Commodity</t>
  </si>
  <si>
    <t>CDS</t>
  </si>
  <si>
    <t>Fixed Income</t>
  </si>
  <si>
    <t>Futures</t>
  </si>
  <si>
    <t>FX</t>
  </si>
  <si>
    <t>Asset Class</t>
  </si>
  <si>
    <t>Date</t>
  </si>
  <si>
    <t>Market Data:ZaKoo! Finance</t>
  </si>
  <si>
    <t>Portfolio</t>
  </si>
  <si>
    <t>VaR</t>
  </si>
  <si>
    <t>Average Return</t>
  </si>
  <si>
    <t>average</t>
  </si>
  <si>
    <t>99% VaR</t>
  </si>
  <si>
    <t>95% VaR</t>
  </si>
  <si>
    <t>90% VaR</t>
  </si>
  <si>
    <t>Value</t>
  </si>
  <si>
    <t>GetWeight</t>
  </si>
  <si>
    <t>RAND()*100+100</t>
  </si>
  <si>
    <t>Check</t>
  </si>
  <si>
    <t>Test</t>
  </si>
  <si>
    <t>Summary</t>
  </si>
  <si>
    <t>Instrument Type</t>
  </si>
  <si>
    <t>----&gt;</t>
  </si>
  <si>
    <t>Return</t>
  </si>
  <si>
    <t>Instrument with max marginal VaR is</t>
  </si>
  <si>
    <t>Portfoilo</t>
  </si>
  <si>
    <t>Portfolio (with initial equal quantity)</t>
  </si>
  <si>
    <t xml:space="preserve">Portfolio with best over all return is </t>
  </si>
  <si>
    <t>Portfolio with overall VaR is</t>
  </si>
  <si>
    <t>P-Remove Equity</t>
  </si>
  <si>
    <t>P-Remove Commodity</t>
  </si>
  <si>
    <t>P-Remove Fixed Income</t>
  </si>
  <si>
    <t>P-Remove Futures</t>
  </si>
  <si>
    <t>P- Remove 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</si>
</sst>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10" fontId="0" fillId="0" borderId="2" xfId="0" applyNumberFormat="1" applyBorder="1"/>
    <xf numFmtId="0" fontId="0" fillId="2" borderId="2" xfId="0" applyFill="1" applyBorder="1"/>
    <xf numFmtId="14" fontId="0" fillId="0" borderId="0" xfId="0" applyNumberFormat="1"/>
    <xf numFmtId="43" fontId="0" fillId="0" borderId="0" xfId="1" applyFont="1"/>
    <xf numFmtId="43" fontId="0" fillId="0" borderId="2" xfId="1" applyFont="1" applyBorder="1"/>
    <xf numFmtId="43" fontId="0" fillId="3" borderId="2" xfId="1" applyFont="1" applyFill="1" applyBorder="1"/>
    <xf numFmtId="10" fontId="0" fillId="3" borderId="2" xfId="0" applyNumberFormat="1" applyFill="1" applyBorder="1"/>
    <xf numFmtId="10" fontId="0" fillId="0" borderId="0" xfId="0" applyNumberFormat="1"/>
    <xf numFmtId="0" fontId="0" fillId="0" borderId="0" xfId="0" applyFill="1" applyBorder="1"/>
    <xf numFmtId="10" fontId="2" fillId="0" borderId="2" xfId="0" applyNumberFormat="1" applyFont="1" applyBorder="1"/>
    <xf numFmtId="10" fontId="2" fillId="3" borderId="2" xfId="0" applyNumberFormat="1" applyFont="1" applyFill="1" applyBorder="1"/>
    <xf numFmtId="0" fontId="0" fillId="0" borderId="3" xfId="0" applyFill="1" applyBorder="1"/>
    <xf numFmtId="14" fontId="0" fillId="0" borderId="3" xfId="0" applyNumberFormat="1" applyBorder="1"/>
    <xf numFmtId="14" fontId="0" fillId="0" borderId="0" xfId="0" applyNumberFormat="1" applyBorder="1"/>
    <xf numFmtId="43" fontId="0" fillId="0" borderId="3" xfId="1" applyFont="1" applyBorder="1"/>
    <xf numFmtId="43" fontId="0" fillId="0" borderId="0" xfId="1" applyFont="1" applyBorder="1"/>
    <xf numFmtId="10" fontId="0" fillId="3" borderId="2" xfId="0" applyNumberFormat="1" applyFont="1" applyFill="1" applyBorder="1"/>
    <xf numFmtId="0" fontId="0" fillId="0" borderId="1" xfId="0" applyBorder="1" applyAlignment="1">
      <alignment horizontal="left"/>
    </xf>
  </cellXfs>
  <cellStyles count="2">
    <cellStyle name="千位分隔" xfId="1" builtinId="3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22</xdr:row>
          <xdr:rowOff>12700</xdr:rowOff>
        </xdr:from>
        <xdr:to>
          <xdr:col>13</xdr:col>
          <xdr:colOff>158750</xdr:colOff>
          <xdr:row>24</xdr:row>
          <xdr:rowOff>127000</xdr:rowOff>
        </xdr:to>
        <xdr:sp macro="" textlink="">
          <xdr:nvSpPr>
            <xdr:cNvPr id="1025" name="RunPortfoli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25</xdr:row>
          <xdr:rowOff>82550</xdr:rowOff>
        </xdr:from>
        <xdr:to>
          <xdr:col>13</xdr:col>
          <xdr:colOff>120650</xdr:colOff>
          <xdr:row>28</xdr:row>
          <xdr:rowOff>6350</xdr:rowOff>
        </xdr:to>
        <xdr:sp macro="" textlink="">
          <xdr:nvSpPr>
            <xdr:cNvPr id="1026" name="ClearCont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1"/>
  <sheetViews>
    <sheetView showGridLines="0" tabSelected="1" topLeftCell="A7" workbookViewId="0">
      <selection activeCell="C21" sqref="C21"/>
    </sheetView>
  </sheetViews>
  <sheetFormatPr defaultRowHeight="14.5" outlineLevelRow="1" x14ac:dyDescent="0.35"/>
  <cols>
    <col min="1" max="1" width="13" customWidth="1"/>
    <col min="6" max="6" width="18.90625" customWidth="1"/>
  </cols>
  <sheetData>
    <row r="1" spans="1:18" x14ac:dyDescent="0.35">
      <c r="A1" s="1" t="s">
        <v>0</v>
      </c>
      <c r="B1" s="22" t="s">
        <v>12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</row>
    <row r="2" spans="1:18" x14ac:dyDescent="0.35">
      <c r="A2" s="1" t="s">
        <v>1</v>
      </c>
      <c r="B2" s="22" t="s">
        <v>13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</row>
    <row r="3" spans="1:18" x14ac:dyDescent="0.35">
      <c r="A3" s="1" t="s">
        <v>2</v>
      </c>
      <c r="B3" s="22" t="s">
        <v>3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8" x14ac:dyDescent="0.35">
      <c r="A4" s="1" t="s">
        <v>4</v>
      </c>
      <c r="B4" s="22" t="s">
        <v>14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5" spans="1:18" x14ac:dyDescent="0.35">
      <c r="A5" s="1" t="s">
        <v>5</v>
      </c>
      <c r="B5" s="22" t="s">
        <v>6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1:18" x14ac:dyDescent="0.35">
      <c r="A6" s="2" t="s">
        <v>7</v>
      </c>
      <c r="B6" s="22" t="s">
        <v>11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1:18" x14ac:dyDescent="0.35">
      <c r="A7" s="2" t="s">
        <v>8</v>
      </c>
      <c r="B7" s="22" t="s">
        <v>10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1:18" x14ac:dyDescent="0.35">
      <c r="A8" s="2" t="s">
        <v>9</v>
      </c>
      <c r="B8" s="22" t="s">
        <v>16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18" x14ac:dyDescent="0.35">
      <c r="A9" s="2" t="s">
        <v>15</v>
      </c>
      <c r="B9" s="22" t="s">
        <v>17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</row>
    <row r="11" spans="1:18" hidden="1" outlineLevel="1" x14ac:dyDescent="0.35">
      <c r="B11" s="6" t="s">
        <v>27</v>
      </c>
      <c r="C11" s="6"/>
      <c r="E11" s="6" t="s">
        <v>18</v>
      </c>
      <c r="F11" s="6"/>
      <c r="H11" s="6" t="s">
        <v>19</v>
      </c>
      <c r="I11" s="6"/>
      <c r="K11" s="6" t="s">
        <v>21</v>
      </c>
      <c r="L11" s="6"/>
      <c r="N11" s="6" t="s">
        <v>20</v>
      </c>
      <c r="O11" s="6"/>
      <c r="Q11" s="6" t="s">
        <v>22</v>
      </c>
      <c r="R11" s="6"/>
    </row>
    <row r="12" spans="1:18" hidden="1" outlineLevel="1" x14ac:dyDescent="0.35">
      <c r="B12" s="3" t="s">
        <v>28</v>
      </c>
      <c r="C12" s="5">
        <f>MarketData!L15</f>
        <v>-0.12479984821582878</v>
      </c>
      <c r="E12" s="3" t="s">
        <v>28</v>
      </c>
      <c r="F12" s="5">
        <f>MarketData!G15</f>
        <v>-0.42525467551699808</v>
      </c>
      <c r="H12" s="3" t="s">
        <v>28</v>
      </c>
      <c r="I12" s="5">
        <f>MarketData!H15</f>
        <v>-0.4487300787102822</v>
      </c>
      <c r="K12" s="3" t="s">
        <v>28</v>
      </c>
      <c r="L12" s="5">
        <f>MarketData!J15</f>
        <v>-0.29925268527272292</v>
      </c>
      <c r="N12" s="3" t="s">
        <v>28</v>
      </c>
      <c r="O12" s="5">
        <f>MarketData!I15</f>
        <v>-0.38288062204477535</v>
      </c>
      <c r="Q12" s="3" t="s">
        <v>28</v>
      </c>
      <c r="R12" s="5">
        <f>MarketData!K15</f>
        <v>-0.36821921496305077</v>
      </c>
    </row>
    <row r="13" spans="1:18" hidden="1" outlineLevel="1" x14ac:dyDescent="0.35">
      <c r="B13" s="3" t="s">
        <v>29</v>
      </c>
      <c r="C13" s="5">
        <f>MarketData!L14</f>
        <v>5.898608984751097E-2</v>
      </c>
      <c r="E13" s="3" t="s">
        <v>29</v>
      </c>
      <c r="F13" s="5">
        <f>MarketData!G14</f>
        <v>2.0649574202964167E-2</v>
      </c>
      <c r="H13" s="3" t="s">
        <v>29</v>
      </c>
      <c r="I13" s="5">
        <f>MarketData!H14</f>
        <v>8.1063044248755781E-2</v>
      </c>
      <c r="K13" s="3" t="s">
        <v>29</v>
      </c>
      <c r="L13" s="5">
        <f>MarketData!J14</f>
        <v>3.4744078723659179E-2</v>
      </c>
      <c r="N13" s="3" t="s">
        <v>29</v>
      </c>
      <c r="O13" s="5">
        <f>MarketData!I14</f>
        <v>6.9871903198791996E-2</v>
      </c>
      <c r="Q13" s="3" t="s">
        <v>29</v>
      </c>
      <c r="R13" s="5">
        <f>MarketData!K14</f>
        <v>8.8601848863383723E-2</v>
      </c>
    </row>
    <row r="14" spans="1:18" hidden="1" outlineLevel="1" x14ac:dyDescent="0.35"/>
    <row r="15" spans="1:18" hidden="1" outlineLevel="1" x14ac:dyDescent="0.35">
      <c r="B15" s="6" t="s">
        <v>27</v>
      </c>
      <c r="C15" s="6"/>
      <c r="E15" s="6" t="s">
        <v>18</v>
      </c>
      <c r="F15" s="6"/>
      <c r="H15" s="6" t="s">
        <v>19</v>
      </c>
      <c r="I15" s="6"/>
      <c r="K15" s="6" t="s">
        <v>21</v>
      </c>
      <c r="L15" s="6"/>
      <c r="N15" s="6" t="s">
        <v>20</v>
      </c>
      <c r="O15" s="6"/>
      <c r="Q15" s="6" t="s">
        <v>22</v>
      </c>
      <c r="R15" s="6"/>
    </row>
    <row r="16" spans="1:18" hidden="1" outlineLevel="1" x14ac:dyDescent="0.35">
      <c r="B16" s="3" t="s">
        <v>28</v>
      </c>
      <c r="C16" s="14"/>
      <c r="E16" s="3" t="s">
        <v>28</v>
      </c>
      <c r="F16" s="14"/>
      <c r="H16" s="3" t="s">
        <v>28</v>
      </c>
      <c r="I16" s="14"/>
      <c r="K16" s="3" t="s">
        <v>28</v>
      </c>
      <c r="L16" s="14"/>
      <c r="N16" s="3" t="s">
        <v>28</v>
      </c>
      <c r="O16" s="14"/>
      <c r="Q16" s="3" t="s">
        <v>28</v>
      </c>
      <c r="R16" s="14"/>
    </row>
    <row r="17" spans="2:18" hidden="1" outlineLevel="1" x14ac:dyDescent="0.35">
      <c r="B17" s="13" t="s">
        <v>37</v>
      </c>
      <c r="C17" t="str">
        <f>IF(C16=C12,"Well Done!","Try Again!")</f>
        <v>Try Again!</v>
      </c>
      <c r="F17" t="str">
        <f>IF(F16=F12,"Well Done!","Try Again!")</f>
        <v>Try Again!</v>
      </c>
      <c r="I17" t="str">
        <f>IF(I16=I12,"Well Done!","Try Again!")</f>
        <v>Try Again!</v>
      </c>
      <c r="L17" t="str">
        <f>IF(L16=L12,"Well Done!","Try Again!")</f>
        <v>Try Again!</v>
      </c>
      <c r="O17" t="str">
        <f>IF(O16=O12,"Well Done!","Try Again!")</f>
        <v>Try Again!</v>
      </c>
      <c r="R17" t="str">
        <f>IF(R16=R12,"Well Done!","Try Again!")</f>
        <v>Try Again!</v>
      </c>
    </row>
    <row r="18" spans="2:18" collapsed="1" x14ac:dyDescent="0.35"/>
    <row r="19" spans="2:18" x14ac:dyDescent="0.35">
      <c r="B19" s="6" t="s">
        <v>39</v>
      </c>
      <c r="C19" s="6"/>
    </row>
    <row r="20" spans="2:18" x14ac:dyDescent="0.35">
      <c r="B20" s="10" t="s">
        <v>40</v>
      </c>
      <c r="C20" s="21" t="s">
        <v>28</v>
      </c>
      <c r="F20" s="10" t="s">
        <v>27</v>
      </c>
      <c r="G20" s="21" t="s">
        <v>42</v>
      </c>
      <c r="H20" s="21" t="s">
        <v>28</v>
      </c>
    </row>
    <row r="21" spans="2:18" x14ac:dyDescent="0.35">
      <c r="B21" s="10" t="s">
        <v>18</v>
      </c>
      <c r="C21" s="15">
        <f>MarketData!G15</f>
        <v>-0.42525467551699808</v>
      </c>
      <c r="F21" s="10" t="s">
        <v>48</v>
      </c>
      <c r="G21" s="15"/>
      <c r="H21" s="15"/>
    </row>
    <row r="22" spans="2:18" x14ac:dyDescent="0.35">
      <c r="B22" s="10" t="s">
        <v>19</v>
      </c>
      <c r="C22" s="15">
        <f>MarketData!H15</f>
        <v>-0.4487300787102822</v>
      </c>
      <c r="F22" s="10" t="s">
        <v>49</v>
      </c>
      <c r="G22" s="15"/>
      <c r="H22" s="15"/>
    </row>
    <row r="23" spans="2:18" x14ac:dyDescent="0.35">
      <c r="B23" s="10" t="s">
        <v>21</v>
      </c>
      <c r="C23" s="15">
        <f>MarketData!I15</f>
        <v>-0.38288062204477535</v>
      </c>
      <c r="F23" s="10" t="s">
        <v>50</v>
      </c>
      <c r="G23" s="15"/>
      <c r="H23" s="15"/>
    </row>
    <row r="24" spans="2:18" x14ac:dyDescent="0.35">
      <c r="B24" s="10" t="s">
        <v>20</v>
      </c>
      <c r="C24" s="15">
        <f>MarketData!J15</f>
        <v>-0.29925268527272292</v>
      </c>
      <c r="F24" s="10" t="s">
        <v>52</v>
      </c>
      <c r="G24" s="15"/>
      <c r="H24" s="15"/>
    </row>
    <row r="25" spans="2:18" x14ac:dyDescent="0.35">
      <c r="B25" s="10" t="s">
        <v>22</v>
      </c>
      <c r="C25" s="15">
        <f>MarketData!K15</f>
        <v>-0.36821921496305077</v>
      </c>
      <c r="F25" s="10" t="s">
        <v>51</v>
      </c>
      <c r="G25" s="15"/>
      <c r="H25" s="15"/>
    </row>
    <row r="26" spans="2:18" x14ac:dyDescent="0.35">
      <c r="B26" s="10" t="s">
        <v>44</v>
      </c>
      <c r="C26" s="15">
        <f>MarketData!L15</f>
        <v>-0.12479984821582878</v>
      </c>
      <c r="F26" s="10"/>
      <c r="G26" s="15"/>
      <c r="H26" s="15"/>
    </row>
    <row r="27" spans="2:18" x14ac:dyDescent="0.35">
      <c r="B27" s="10"/>
      <c r="C27" s="11"/>
      <c r="F27" s="10"/>
      <c r="G27" s="15"/>
      <c r="H27" s="15"/>
    </row>
    <row r="28" spans="2:18" x14ac:dyDescent="0.35">
      <c r="B28" s="10" t="s">
        <v>43</v>
      </c>
      <c r="C28" s="11"/>
      <c r="F28" s="10" t="s">
        <v>46</v>
      </c>
      <c r="G28" s="15"/>
      <c r="H28" s="15"/>
    </row>
    <row r="29" spans="2:18" x14ac:dyDescent="0.35">
      <c r="B29" s="10" t="s">
        <v>41</v>
      </c>
      <c r="C29" s="15" t="str">
        <f>INDEX($B$21:$B$25,MATCH(MAX($C$21:$C$25),$C$21:$C$25,0))</f>
        <v>CDS</v>
      </c>
      <c r="F29" s="10"/>
      <c r="G29" s="15"/>
      <c r="H29" s="15" t="e">
        <f>INDEX($F$21:$F$25,MATCH(MAX($G$21:$G$25),$G$21:$G$25,0),0)</f>
        <v>#N/A</v>
      </c>
    </row>
    <row r="30" spans="2:18" x14ac:dyDescent="0.35">
      <c r="F30" s="10" t="s">
        <v>47</v>
      </c>
      <c r="G30" s="15"/>
      <c r="H30" s="15"/>
    </row>
    <row r="31" spans="2:18" x14ac:dyDescent="0.35">
      <c r="F31" s="10"/>
      <c r="G31" s="15"/>
      <c r="H31" s="15" t="e">
        <f>INDEX($F$21:$F$25,MATCH(MAX($H$21:$H$25),$H$21:$H$25,0),0)</f>
        <v>#N/A</v>
      </c>
    </row>
  </sheetData>
  <mergeCells count="9">
    <mergeCell ref="B7:R7"/>
    <mergeCell ref="B8:R8"/>
    <mergeCell ref="B9:R9"/>
    <mergeCell ref="B1:R1"/>
    <mergeCell ref="B2:R2"/>
    <mergeCell ref="B3:R3"/>
    <mergeCell ref="B4:R4"/>
    <mergeCell ref="B5:R5"/>
    <mergeCell ref="B6:R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learContent">
          <controlPr defaultSize="0" autoLine="0" r:id="rId4">
            <anchor moveWithCells="1">
              <from>
                <xdr:col>11</xdr:col>
                <xdr:colOff>57150</xdr:colOff>
                <xdr:row>25</xdr:row>
                <xdr:rowOff>82550</xdr:rowOff>
              </from>
              <to>
                <xdr:col>13</xdr:col>
                <xdr:colOff>120650</xdr:colOff>
                <xdr:row>28</xdr:row>
                <xdr:rowOff>6350</xdr:rowOff>
              </to>
            </anchor>
          </controlPr>
        </control>
      </mc:Choice>
      <mc:Fallback>
        <control shapeId="1026" r:id="rId3" name="ClearContent"/>
      </mc:Fallback>
    </mc:AlternateContent>
    <mc:AlternateContent xmlns:mc="http://schemas.openxmlformats.org/markup-compatibility/2006">
      <mc:Choice Requires="x14">
        <control shapeId="1025" r:id="rId5" name="RunPortfolio">
          <controlPr defaultSize="0" autoLine="0" r:id="rId6">
            <anchor moveWithCells="1">
              <from>
                <xdr:col>11</xdr:col>
                <xdr:colOff>50800</xdr:colOff>
                <xdr:row>22</xdr:row>
                <xdr:rowOff>12700</xdr:rowOff>
              </from>
              <to>
                <xdr:col>13</xdr:col>
                <xdr:colOff>158750</xdr:colOff>
                <xdr:row>24</xdr:row>
                <xdr:rowOff>127000</xdr:rowOff>
              </to>
            </anchor>
          </controlPr>
        </control>
      </mc:Choice>
      <mc:Fallback>
        <control shapeId="1025" r:id="rId5" name="RunPortfol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74"/>
  <sheetViews>
    <sheetView showGridLines="0" topLeftCell="B1" workbookViewId="0">
      <selection activeCell="O16" sqref="O16"/>
    </sheetView>
  </sheetViews>
  <sheetFormatPr defaultRowHeight="14.5" x14ac:dyDescent="0.35"/>
  <cols>
    <col min="3" max="3" width="9.453125" bestFit="1" customWidth="1"/>
    <col min="4" max="4" width="9.81640625" bestFit="1" customWidth="1"/>
    <col min="5" max="5" width="10.08984375" bestFit="1" customWidth="1"/>
    <col min="6" max="6" width="9.453125" bestFit="1" customWidth="1"/>
    <col min="7" max="7" width="9" customWidth="1"/>
    <col min="14" max="14" width="10" customWidth="1"/>
  </cols>
  <sheetData>
    <row r="1" spans="2:16" x14ac:dyDescent="0.35">
      <c r="E1" s="8"/>
      <c r="F1" s="7"/>
    </row>
    <row r="3" spans="2:16" x14ac:dyDescent="0.35">
      <c r="B3" t="s">
        <v>26</v>
      </c>
      <c r="N3" t="s">
        <v>38</v>
      </c>
    </row>
    <row r="4" spans="2:16" x14ac:dyDescent="0.35">
      <c r="B4" s="6" t="s">
        <v>24</v>
      </c>
      <c r="C4" s="6" t="s">
        <v>25</v>
      </c>
      <c r="D4" s="6" t="s">
        <v>34</v>
      </c>
      <c r="F4" s="6" t="str">
        <f>C4</f>
        <v>Date</v>
      </c>
      <c r="G4" s="6" t="str">
        <f>B5</f>
        <v>Equity</v>
      </c>
      <c r="H4" s="6" t="str">
        <f>B15</f>
        <v>Commodity</v>
      </c>
      <c r="I4" s="6" t="str">
        <f>B25</f>
        <v>CDS</v>
      </c>
      <c r="J4" s="6" t="str">
        <f>B35</f>
        <v>Fixed Income</v>
      </c>
      <c r="K4" s="6" t="str">
        <f>B45</f>
        <v>Futures</v>
      </c>
      <c r="L4" s="6" t="s">
        <v>45</v>
      </c>
      <c r="N4" s="6" t="s">
        <v>25</v>
      </c>
      <c r="O4" s="6" t="s">
        <v>18</v>
      </c>
      <c r="P4" s="6" t="s">
        <v>42</v>
      </c>
    </row>
    <row r="5" spans="2:16" x14ac:dyDescent="0.35">
      <c r="B5" s="3" t="s">
        <v>18</v>
      </c>
      <c r="C5" s="4">
        <v>43235</v>
      </c>
      <c r="D5" s="9">
        <v>171.12714079839796</v>
      </c>
      <c r="E5" t="s">
        <v>36</v>
      </c>
      <c r="F5" s="4">
        <f>C5</f>
        <v>43235</v>
      </c>
      <c r="G5" s="5">
        <f>D5/D6-1</f>
        <v>-5.4623825027309447E-2</v>
      </c>
      <c r="H5" s="5">
        <f>D15/D16-1</f>
        <v>0.37752908471900293</v>
      </c>
      <c r="I5" s="5">
        <f>D25/D26-1</f>
        <v>1.8986655547926556E-2</v>
      </c>
      <c r="J5" s="5">
        <f>D35/D36-1</f>
        <v>-0.23909542942629158</v>
      </c>
      <c r="K5" s="5">
        <f>D45/D46-1</f>
        <v>0.39957538868107423</v>
      </c>
      <c r="L5" s="5">
        <f>D65/D66-1</f>
        <v>3.0343384017125219E-2</v>
      </c>
      <c r="N5" s="4">
        <v>43235</v>
      </c>
      <c r="O5" s="10">
        <v>171.12714079839796</v>
      </c>
      <c r="P5" s="11">
        <v>-5.4623825027309447E-2</v>
      </c>
    </row>
    <row r="6" spans="2:16" x14ac:dyDescent="0.35">
      <c r="B6" s="3" t="s">
        <v>18</v>
      </c>
      <c r="C6" s="4">
        <f>WORKDAY(C5,-1)</f>
        <v>43234</v>
      </c>
      <c r="D6" s="9">
        <v>181.01486511794246</v>
      </c>
      <c r="F6" s="4">
        <f t="shared" ref="F6:F13" si="0">C6</f>
        <v>43234</v>
      </c>
      <c r="G6" s="5">
        <f t="shared" ref="G6:G13" si="1">D6/D7-1</f>
        <v>9.7259445719903859E-3</v>
      </c>
      <c r="H6" s="5">
        <f t="shared" ref="H6:H13" si="2">D16/D17-1</f>
        <v>0.34411182316380917</v>
      </c>
      <c r="I6" s="5">
        <f t="shared" ref="I6:I13" si="3">D26/D27-1</f>
        <v>0.57410053565882202</v>
      </c>
      <c r="J6" s="5">
        <f t="shared" ref="J6:J13" si="4">D36/D37-1</f>
        <v>0.37723408197166819</v>
      </c>
      <c r="K6" s="5">
        <f t="shared" ref="K6:K13" si="5">D46/D47-1</f>
        <v>-0.14050975020226042</v>
      </c>
      <c r="L6" s="5">
        <f t="shared" ref="L6:L13" si="6">D66/D67-1</f>
        <v>0.13716872620263998</v>
      </c>
      <c r="N6" s="4">
        <v>43234</v>
      </c>
      <c r="O6" s="10">
        <v>181.01486511794246</v>
      </c>
      <c r="P6" s="11">
        <v>9.7259445719903859E-3</v>
      </c>
    </row>
    <row r="7" spans="2:16" x14ac:dyDescent="0.35">
      <c r="B7" s="3" t="s">
        <v>18</v>
      </c>
      <c r="C7" s="4">
        <f t="shared" ref="C7:C14" si="7">WORKDAY(C6,-1)</f>
        <v>43231</v>
      </c>
      <c r="D7" s="9">
        <v>179.27128256041027</v>
      </c>
      <c r="F7" s="4">
        <f t="shared" si="0"/>
        <v>43231</v>
      </c>
      <c r="G7" s="5">
        <f t="shared" si="1"/>
        <v>0.24938398792959449</v>
      </c>
      <c r="H7" s="5">
        <f t="shared" si="2"/>
        <v>-0.45537237984273682</v>
      </c>
      <c r="I7" s="5">
        <f t="shared" si="3"/>
        <v>-0.11212688118792624</v>
      </c>
      <c r="J7" s="5">
        <f t="shared" si="4"/>
        <v>9.3360420274712475E-2</v>
      </c>
      <c r="K7" s="5">
        <f t="shared" si="5"/>
        <v>0.20668407771889319</v>
      </c>
      <c r="L7" s="5">
        <f t="shared" si="6"/>
        <v>-3.7587051162347729E-3</v>
      </c>
      <c r="N7" s="4">
        <v>43231</v>
      </c>
      <c r="O7" s="10">
        <v>179.27128256041027</v>
      </c>
      <c r="P7" s="11">
        <v>0.24938398792959449</v>
      </c>
    </row>
    <row r="8" spans="2:16" x14ac:dyDescent="0.35">
      <c r="B8" s="3" t="s">
        <v>18</v>
      </c>
      <c r="C8" s="4">
        <f t="shared" si="7"/>
        <v>43230</v>
      </c>
      <c r="D8" s="9">
        <v>143.48773819127302</v>
      </c>
      <c r="F8" s="4">
        <f t="shared" si="0"/>
        <v>43230</v>
      </c>
      <c r="G8" s="5">
        <f t="shared" si="1"/>
        <v>0.21347190245396508</v>
      </c>
      <c r="H8" s="5">
        <f t="shared" si="2"/>
        <v>0.63059461443422693</v>
      </c>
      <c r="I8" s="5">
        <f t="shared" si="3"/>
        <v>-0.13643038341457647</v>
      </c>
      <c r="J8" s="5">
        <f t="shared" si="4"/>
        <v>-0.30448375099849956</v>
      </c>
      <c r="K8" s="5">
        <f t="shared" si="5"/>
        <v>-0.3734964495075942</v>
      </c>
      <c r="L8" s="5">
        <f t="shared" si="6"/>
        <v>-3.3331461074650348E-2</v>
      </c>
      <c r="N8" s="4">
        <v>43230</v>
      </c>
      <c r="O8" s="10">
        <v>143.48773819127302</v>
      </c>
      <c r="P8" s="11">
        <v>0.21347190245396508</v>
      </c>
    </row>
    <row r="9" spans="2:16" x14ac:dyDescent="0.35">
      <c r="B9" s="3" t="s">
        <v>18</v>
      </c>
      <c r="C9" s="4">
        <f t="shared" si="7"/>
        <v>43229</v>
      </c>
      <c r="D9" s="9">
        <v>118.245620604072</v>
      </c>
      <c r="F9" s="4">
        <f t="shared" si="0"/>
        <v>43229</v>
      </c>
      <c r="G9" s="5">
        <f t="shared" si="1"/>
        <v>0.13690966890803002</v>
      </c>
      <c r="H9" s="5">
        <f t="shared" si="2"/>
        <v>-0.33782568036533145</v>
      </c>
      <c r="I9" s="5">
        <f t="shared" si="3"/>
        <v>-0.10574263573768061</v>
      </c>
      <c r="J9" s="5">
        <f t="shared" si="4"/>
        <v>-2.2174447357715454E-2</v>
      </c>
      <c r="K9" s="5">
        <f t="shared" si="5"/>
        <v>7.2833202978994649E-3</v>
      </c>
      <c r="L9" s="5">
        <f t="shared" si="6"/>
        <v>-7.8331550942569828E-2</v>
      </c>
      <c r="N9" s="4">
        <v>43229</v>
      </c>
      <c r="O9" s="10">
        <v>118.245620604072</v>
      </c>
      <c r="P9" s="11">
        <v>0.13690966890803002</v>
      </c>
    </row>
    <row r="10" spans="2:16" x14ac:dyDescent="0.35">
      <c r="B10" s="3" t="s">
        <v>18</v>
      </c>
      <c r="C10" s="4">
        <f t="shared" si="7"/>
        <v>43228</v>
      </c>
      <c r="D10" s="9">
        <v>104.00617026825326</v>
      </c>
      <c r="F10" s="4">
        <f t="shared" si="0"/>
        <v>43228</v>
      </c>
      <c r="G10" s="5">
        <f t="shared" si="1"/>
        <v>-4.8025047506191854E-2</v>
      </c>
      <c r="H10" s="5">
        <f t="shared" si="2"/>
        <v>0.29938736582671011</v>
      </c>
      <c r="I10" s="5">
        <f t="shared" si="3"/>
        <v>0.67665313832002516</v>
      </c>
      <c r="J10" s="5">
        <f t="shared" si="4"/>
        <v>-3.6550340140180104E-2</v>
      </c>
      <c r="K10" s="5">
        <f t="shared" si="5"/>
        <v>0.65475343507487493</v>
      </c>
      <c r="L10" s="5">
        <f t="shared" si="6"/>
        <v>0.19441568249341001</v>
      </c>
      <c r="N10" s="4">
        <v>43228</v>
      </c>
      <c r="O10" s="10">
        <v>104.00617026825326</v>
      </c>
      <c r="P10" s="11">
        <v>-4.8025047506191854E-2</v>
      </c>
    </row>
    <row r="11" spans="2:16" x14ac:dyDescent="0.35">
      <c r="B11" s="3" t="s">
        <v>18</v>
      </c>
      <c r="C11" s="4">
        <f t="shared" si="7"/>
        <v>43227</v>
      </c>
      <c r="D11" s="9">
        <v>109.25305334536071</v>
      </c>
      <c r="F11" s="4">
        <f t="shared" si="0"/>
        <v>43227</v>
      </c>
      <c r="G11" s="5">
        <f t="shared" si="1"/>
        <v>-0.45062131264211491</v>
      </c>
      <c r="H11" s="5">
        <f t="shared" si="2"/>
        <v>-0.17459253130742425</v>
      </c>
      <c r="I11" s="5">
        <f t="shared" si="3"/>
        <v>5.0920245994740654E-2</v>
      </c>
      <c r="J11" s="5">
        <f t="shared" si="4"/>
        <v>0.15778147236907758</v>
      </c>
      <c r="K11" s="5">
        <f t="shared" si="5"/>
        <v>-0.30753101770080171</v>
      </c>
      <c r="L11" s="5">
        <f t="shared" si="6"/>
        <v>-0.12884056971785129</v>
      </c>
      <c r="N11" s="4">
        <v>43227</v>
      </c>
      <c r="O11" s="10">
        <v>109.25305334536071</v>
      </c>
      <c r="P11" s="11">
        <v>-0.45062131264211491</v>
      </c>
    </row>
    <row r="12" spans="2:16" x14ac:dyDescent="0.35">
      <c r="B12" s="3" t="s">
        <v>18</v>
      </c>
      <c r="C12" s="4">
        <f t="shared" si="7"/>
        <v>43224</v>
      </c>
      <c r="D12" s="9">
        <v>198.86656664966205</v>
      </c>
      <c r="F12" s="4">
        <f t="shared" si="0"/>
        <v>43224</v>
      </c>
      <c r="G12" s="5">
        <f t="shared" si="1"/>
        <v>0.26316319771686869</v>
      </c>
      <c r="H12" s="5">
        <f t="shared" si="2"/>
        <v>0.41807871729759971</v>
      </c>
      <c r="I12" s="5">
        <f t="shared" si="3"/>
        <v>-0.40431107757783613</v>
      </c>
      <c r="J12" s="5">
        <f t="shared" si="4"/>
        <v>7.8268021016589806E-2</v>
      </c>
      <c r="K12" s="5">
        <f t="shared" si="5"/>
        <v>-1.2626290872931323E-3</v>
      </c>
      <c r="L12" s="5">
        <f t="shared" si="6"/>
        <v>1.3939756798758474E-2</v>
      </c>
      <c r="N12" s="4">
        <v>43224</v>
      </c>
      <c r="O12" s="10">
        <v>198.86656664966205</v>
      </c>
      <c r="P12" s="11">
        <v>0.26316319771686869</v>
      </c>
    </row>
    <row r="13" spans="2:16" x14ac:dyDescent="0.35">
      <c r="B13" s="3" t="s">
        <v>18</v>
      </c>
      <c r="C13" s="4">
        <f t="shared" si="7"/>
        <v>43223</v>
      </c>
      <c r="D13" s="9">
        <v>157.43537098698542</v>
      </c>
      <c r="F13" s="4">
        <f t="shared" si="0"/>
        <v>43223</v>
      </c>
      <c r="G13" s="5">
        <f t="shared" si="1"/>
        <v>-0.13353834857815494</v>
      </c>
      <c r="H13" s="5">
        <f t="shared" si="2"/>
        <v>-0.37234361568705432</v>
      </c>
      <c r="I13" s="5">
        <f t="shared" si="3"/>
        <v>6.679753118563303E-2</v>
      </c>
      <c r="J13" s="5">
        <f t="shared" si="4"/>
        <v>0.20835668080357128</v>
      </c>
      <c r="K13" s="5">
        <f t="shared" si="5"/>
        <v>0.35192026449566116</v>
      </c>
      <c r="L13" s="5">
        <f t="shared" si="6"/>
        <v>1.8917368826474323E-2</v>
      </c>
      <c r="N13" s="4">
        <v>43223</v>
      </c>
      <c r="O13" s="10">
        <v>157.43537098698542</v>
      </c>
      <c r="P13" s="11">
        <v>-0.13353834857815494</v>
      </c>
    </row>
    <row r="14" spans="2:16" x14ac:dyDescent="0.35">
      <c r="B14" s="3" t="s">
        <v>18</v>
      </c>
      <c r="C14" s="4">
        <f t="shared" si="7"/>
        <v>43222</v>
      </c>
      <c r="D14" s="9">
        <v>181.6991793331388</v>
      </c>
      <c r="F14" s="4" t="s">
        <v>30</v>
      </c>
      <c r="G14" s="5">
        <f>AVERAGE(G5:G13)</f>
        <v>2.0649574202964167E-2</v>
      </c>
      <c r="H14" s="5">
        <f>AVERAGE(H5:H13)</f>
        <v>8.1063044248755781E-2</v>
      </c>
      <c r="I14" s="5">
        <f>AVERAGE(I5:I13)</f>
        <v>6.9871903198791996E-2</v>
      </c>
      <c r="J14" s="5">
        <f>AVERAGE(J5:J13)</f>
        <v>3.4744078723659179E-2</v>
      </c>
      <c r="K14" s="5">
        <f>AVERAGE(K5:K13)</f>
        <v>8.8601848863383723E-2</v>
      </c>
      <c r="L14" s="5">
        <f t="shared" ref="L14" si="8">AVERAGE(G14:K14)</f>
        <v>5.898608984751097E-2</v>
      </c>
      <c r="N14" s="4">
        <v>43222</v>
      </c>
      <c r="O14" s="10">
        <v>181.6991793331388</v>
      </c>
      <c r="P14" s="11"/>
    </row>
    <row r="15" spans="2:16" x14ac:dyDescent="0.35">
      <c r="B15" s="3" t="s">
        <v>19</v>
      </c>
      <c r="C15" s="4">
        <v>43235</v>
      </c>
      <c r="D15" s="9">
        <v>195.14554057397766</v>
      </c>
      <c r="F15" s="4" t="s">
        <v>31</v>
      </c>
      <c r="G15" s="5">
        <f t="shared" ref="G15:L15" si="9">PERCENTILE(G5:G13,0.01)</f>
        <v>-0.42525467551699808</v>
      </c>
      <c r="H15" s="5">
        <f t="shared" si="9"/>
        <v>-0.4487300787102822</v>
      </c>
      <c r="I15" s="5">
        <f t="shared" si="9"/>
        <v>-0.38288062204477535</v>
      </c>
      <c r="J15" s="5">
        <f t="shared" si="9"/>
        <v>-0.29925268527272292</v>
      </c>
      <c r="K15" s="5">
        <f t="shared" si="9"/>
        <v>-0.36821921496305077</v>
      </c>
      <c r="L15" s="5">
        <f t="shared" si="9"/>
        <v>-0.12479984821582878</v>
      </c>
    </row>
    <row r="16" spans="2:16" x14ac:dyDescent="0.35">
      <c r="B16" s="3" t="s">
        <v>19</v>
      </c>
      <c r="C16" s="4">
        <f>WORKDAY(C15,-1)</f>
        <v>43234</v>
      </c>
      <c r="D16" s="9">
        <v>141.66346303590728</v>
      </c>
      <c r="F16" s="4" t="s">
        <v>32</v>
      </c>
      <c r="G16" s="5">
        <f t="shared" ref="G16:L16" si="10">PERCENTILE(G5:G13,0.05)</f>
        <v>-0.32378812701653092</v>
      </c>
      <c r="H16" s="5">
        <f t="shared" si="10"/>
        <v>-0.42216087418046383</v>
      </c>
      <c r="I16" s="5">
        <f t="shared" si="10"/>
        <v>-0.2971587999125323</v>
      </c>
      <c r="J16" s="5">
        <f t="shared" si="10"/>
        <v>-0.27832842236961636</v>
      </c>
      <c r="K16" s="5">
        <f t="shared" si="10"/>
        <v>-0.34711027678487721</v>
      </c>
      <c r="L16" s="5">
        <f t="shared" si="10"/>
        <v>-0.10863696220773872</v>
      </c>
      <c r="N16" t="s">
        <v>35</v>
      </c>
      <c r="O16" s="12">
        <v>0.1746824580861665</v>
      </c>
    </row>
    <row r="17" spans="2:12" x14ac:dyDescent="0.35">
      <c r="B17" s="3" t="s">
        <v>19</v>
      </c>
      <c r="C17" s="4">
        <f t="shared" ref="C17:C24" si="11">WORKDAY(C16,-1)</f>
        <v>43231</v>
      </c>
      <c r="D17" s="9">
        <v>105.39559327917802</v>
      </c>
      <c r="F17" s="4" t="s">
        <v>33</v>
      </c>
      <c r="G17" s="5">
        <f t="shared" ref="G17:L17" si="12">PERCENTILE(G5:G13,0.1)</f>
        <v>-0.19695494139094694</v>
      </c>
      <c r="H17" s="5">
        <f t="shared" si="12"/>
        <v>-0.38894936851819084</v>
      </c>
      <c r="I17" s="5">
        <f t="shared" si="12"/>
        <v>-0.19000652224722839</v>
      </c>
      <c r="J17" s="5">
        <f t="shared" si="12"/>
        <v>-0.25217309374073316</v>
      </c>
      <c r="K17" s="5">
        <f t="shared" si="12"/>
        <v>-0.32072410406216023</v>
      </c>
      <c r="L17" s="5">
        <f t="shared" si="12"/>
        <v>-8.8433354697626115E-2</v>
      </c>
    </row>
    <row r="18" spans="2:12" x14ac:dyDescent="0.35">
      <c r="B18" s="3" t="s">
        <v>19</v>
      </c>
      <c r="C18" s="4">
        <f t="shared" si="11"/>
        <v>43230</v>
      </c>
      <c r="D18" s="9">
        <v>193.51863434459062</v>
      </c>
    </row>
    <row r="19" spans="2:12" x14ac:dyDescent="0.35">
      <c r="B19" s="3" t="s">
        <v>19</v>
      </c>
      <c r="C19" s="4">
        <f t="shared" si="11"/>
        <v>43229</v>
      </c>
      <c r="D19" s="9">
        <v>118.67979486227878</v>
      </c>
    </row>
    <row r="20" spans="2:12" x14ac:dyDescent="0.35">
      <c r="B20" s="3" t="s">
        <v>19</v>
      </c>
      <c r="C20" s="4">
        <f t="shared" si="11"/>
        <v>43228</v>
      </c>
      <c r="D20" s="9">
        <v>179.22741994548534</v>
      </c>
    </row>
    <row r="21" spans="2:12" x14ac:dyDescent="0.35">
      <c r="B21" s="3" t="s">
        <v>19</v>
      </c>
      <c r="C21" s="4">
        <f t="shared" si="11"/>
        <v>43227</v>
      </c>
      <c r="D21" s="9">
        <v>137.93224765692204</v>
      </c>
    </row>
    <row r="22" spans="2:12" x14ac:dyDescent="0.35">
      <c r="B22" s="3" t="s">
        <v>19</v>
      </c>
      <c r="C22" s="4">
        <f t="shared" si="11"/>
        <v>43224</v>
      </c>
      <c r="D22" s="9">
        <v>167.10806830401376</v>
      </c>
    </row>
    <row r="23" spans="2:12" x14ac:dyDescent="0.35">
      <c r="B23" s="3" t="s">
        <v>19</v>
      </c>
      <c r="C23" s="4">
        <f t="shared" si="11"/>
        <v>43223</v>
      </c>
      <c r="D23" s="9">
        <v>117.84117924177565</v>
      </c>
    </row>
    <row r="24" spans="2:12" x14ac:dyDescent="0.35">
      <c r="B24" s="3" t="s">
        <v>19</v>
      </c>
      <c r="C24" s="4">
        <f t="shared" si="11"/>
        <v>43222</v>
      </c>
      <c r="D24" s="9">
        <v>187.74791778907604</v>
      </c>
    </row>
    <row r="25" spans="2:12" x14ac:dyDescent="0.35">
      <c r="B25" s="3" t="s">
        <v>20</v>
      </c>
      <c r="C25" s="4">
        <v>43235</v>
      </c>
      <c r="D25" s="9">
        <v>194.84167025963703</v>
      </c>
    </row>
    <row r="26" spans="2:12" x14ac:dyDescent="0.35">
      <c r="B26" s="3" t="s">
        <v>20</v>
      </c>
      <c r="C26" s="4">
        <f>WORKDAY(C25,-1)</f>
        <v>43234</v>
      </c>
      <c r="D26" s="9">
        <v>191.21120889936222</v>
      </c>
    </row>
    <row r="27" spans="2:12" x14ac:dyDescent="0.35">
      <c r="B27" s="3" t="s">
        <v>20</v>
      </c>
      <c r="C27" s="4">
        <f t="shared" ref="C27:C34" si="13">WORKDAY(C26,-1)</f>
        <v>43231</v>
      </c>
      <c r="D27" s="9">
        <v>121.47331416753056</v>
      </c>
    </row>
    <row r="28" spans="2:12" x14ac:dyDescent="0.35">
      <c r="B28" s="3" t="s">
        <v>20</v>
      </c>
      <c r="C28" s="4">
        <f t="shared" si="13"/>
        <v>43230</v>
      </c>
      <c r="D28" s="9">
        <v>136.81382124740446</v>
      </c>
    </row>
    <row r="29" spans="2:12" x14ac:dyDescent="0.35">
      <c r="B29" s="3" t="s">
        <v>20</v>
      </c>
      <c r="C29" s="4">
        <f t="shared" si="13"/>
        <v>43229</v>
      </c>
      <c r="D29" s="9">
        <v>158.42824784453376</v>
      </c>
    </row>
    <row r="30" spans="2:12" x14ac:dyDescent="0.35">
      <c r="B30" s="3" t="s">
        <v>20</v>
      </c>
      <c r="C30" s="4">
        <f t="shared" si="13"/>
        <v>43228</v>
      </c>
      <c r="D30" s="9">
        <v>177.16180394580545</v>
      </c>
    </row>
    <row r="31" spans="2:12" x14ac:dyDescent="0.35">
      <c r="B31" s="3" t="s">
        <v>20</v>
      </c>
      <c r="C31" s="4">
        <f t="shared" si="13"/>
        <v>43227</v>
      </c>
      <c r="D31" s="9">
        <v>105.66395630483132</v>
      </c>
    </row>
    <row r="32" spans="2:12" x14ac:dyDescent="0.35">
      <c r="B32" s="3" t="s">
        <v>20</v>
      </c>
      <c r="C32" s="4">
        <f t="shared" si="13"/>
        <v>43224</v>
      </c>
      <c r="D32" s="9">
        <v>100.5442198944563</v>
      </c>
    </row>
    <row r="33" spans="2:4" x14ac:dyDescent="0.35">
      <c r="B33" s="3" t="s">
        <v>20</v>
      </c>
      <c r="C33" s="4">
        <f t="shared" si="13"/>
        <v>43223</v>
      </c>
      <c r="D33" s="9">
        <v>168.7864523074021</v>
      </c>
    </row>
    <row r="34" spans="2:4" x14ac:dyDescent="0.35">
      <c r="B34" s="3" t="s">
        <v>20</v>
      </c>
      <c r="C34" s="4">
        <f t="shared" si="13"/>
        <v>43222</v>
      </c>
      <c r="D34" s="9">
        <v>158.21788799962235</v>
      </c>
    </row>
    <row r="35" spans="2:4" x14ac:dyDescent="0.35">
      <c r="B35" s="3" t="s">
        <v>21</v>
      </c>
      <c r="C35" s="4">
        <v>43235</v>
      </c>
      <c r="D35" s="9">
        <v>141.28135982235378</v>
      </c>
    </row>
    <row r="36" spans="2:4" x14ac:dyDescent="0.35">
      <c r="B36" s="3" t="s">
        <v>21</v>
      </c>
      <c r="C36" s="4">
        <f>WORKDAY(C35,-1)</f>
        <v>43234</v>
      </c>
      <c r="D36" s="9">
        <v>185.67553052786917</v>
      </c>
    </row>
    <row r="37" spans="2:4" x14ac:dyDescent="0.35">
      <c r="B37" s="3" t="s">
        <v>21</v>
      </c>
      <c r="C37" s="4">
        <f t="shared" ref="C37:C44" si="14">WORKDAY(C36,-1)</f>
        <v>43231</v>
      </c>
      <c r="D37" s="9">
        <v>134.81769944442081</v>
      </c>
    </row>
    <row r="38" spans="2:4" x14ac:dyDescent="0.35">
      <c r="B38" s="3" t="s">
        <v>21</v>
      </c>
      <c r="C38" s="4">
        <f t="shared" si="14"/>
        <v>43230</v>
      </c>
      <c r="D38" s="9">
        <v>123.30581658566638</v>
      </c>
    </row>
    <row r="39" spans="2:4" x14ac:dyDescent="0.35">
      <c r="B39" s="3" t="s">
        <v>21</v>
      </c>
      <c r="C39" s="4">
        <f t="shared" si="14"/>
        <v>43229</v>
      </c>
      <c r="D39" s="9">
        <v>177.28675176559443</v>
      </c>
    </row>
    <row r="40" spans="2:4" x14ac:dyDescent="0.35">
      <c r="B40" s="3" t="s">
        <v>21</v>
      </c>
      <c r="C40" s="4">
        <f t="shared" si="14"/>
        <v>43228</v>
      </c>
      <c r="D40" s="9">
        <v>181.30713733807568</v>
      </c>
    </row>
    <row r="41" spans="2:4" x14ac:dyDescent="0.35">
      <c r="B41" s="3" t="s">
        <v>21</v>
      </c>
      <c r="C41" s="4">
        <f t="shared" si="14"/>
        <v>43227</v>
      </c>
      <c r="D41" s="9">
        <v>188.18537687216116</v>
      </c>
    </row>
    <row r="42" spans="2:4" x14ac:dyDescent="0.35">
      <c r="B42" s="3" t="s">
        <v>21</v>
      </c>
      <c r="C42" s="4">
        <f t="shared" si="14"/>
        <v>43224</v>
      </c>
      <c r="D42" s="9">
        <v>162.53963408750371</v>
      </c>
    </row>
    <row r="43" spans="2:4" x14ac:dyDescent="0.35">
      <c r="B43" s="3" t="s">
        <v>21</v>
      </c>
      <c r="C43" s="4">
        <f t="shared" si="14"/>
        <v>43223</v>
      </c>
      <c r="D43" s="9">
        <v>150.74140280471411</v>
      </c>
    </row>
    <row r="44" spans="2:4" x14ac:dyDescent="0.35">
      <c r="B44" s="3" t="s">
        <v>21</v>
      </c>
      <c r="C44" s="4">
        <f t="shared" si="14"/>
        <v>43222</v>
      </c>
      <c r="D44" s="9">
        <v>124.74909536186726</v>
      </c>
    </row>
    <row r="45" spans="2:4" x14ac:dyDescent="0.35">
      <c r="B45" s="3" t="s">
        <v>22</v>
      </c>
      <c r="C45" s="4">
        <v>43235</v>
      </c>
      <c r="D45" s="9">
        <v>163.11028888554929</v>
      </c>
    </row>
    <row r="46" spans="2:4" x14ac:dyDescent="0.35">
      <c r="B46" s="3" t="s">
        <v>22</v>
      </c>
      <c r="C46" s="4">
        <f>WORKDAY(C45,-1)</f>
        <v>43234</v>
      </c>
      <c r="D46" s="9">
        <v>116.54269588097034</v>
      </c>
    </row>
    <row r="47" spans="2:4" x14ac:dyDescent="0.35">
      <c r="B47" s="3" t="s">
        <v>22</v>
      </c>
      <c r="C47" s="4">
        <f t="shared" ref="C47:C54" si="15">WORKDAY(C46,-1)</f>
        <v>43231</v>
      </c>
      <c r="D47" s="9">
        <v>135.59513433502693</v>
      </c>
    </row>
    <row r="48" spans="2:4" x14ac:dyDescent="0.35">
      <c r="B48" s="3" t="s">
        <v>22</v>
      </c>
      <c r="C48" s="4">
        <f t="shared" si="15"/>
        <v>43230</v>
      </c>
      <c r="D48" s="9">
        <v>112.37003689594958</v>
      </c>
    </row>
    <row r="49" spans="2:4" x14ac:dyDescent="0.35">
      <c r="B49" s="3" t="s">
        <v>22</v>
      </c>
      <c r="C49" s="4">
        <f t="shared" si="15"/>
        <v>43229</v>
      </c>
      <c r="D49" s="9">
        <v>179.36057474475825</v>
      </c>
    </row>
    <row r="50" spans="2:4" x14ac:dyDescent="0.35">
      <c r="B50" s="3" t="s">
        <v>22</v>
      </c>
      <c r="C50" s="4">
        <f t="shared" si="15"/>
        <v>43228</v>
      </c>
      <c r="D50" s="9">
        <v>178.06367993040249</v>
      </c>
    </row>
    <row r="51" spans="2:4" x14ac:dyDescent="0.35">
      <c r="B51" s="3" t="s">
        <v>22</v>
      </c>
      <c r="C51" s="4">
        <f t="shared" si="15"/>
        <v>43227</v>
      </c>
      <c r="D51" s="9">
        <v>107.60737893397719</v>
      </c>
    </row>
    <row r="52" spans="2:4" x14ac:dyDescent="0.35">
      <c r="B52" s="3" t="s">
        <v>22</v>
      </c>
      <c r="C52" s="4">
        <f t="shared" si="15"/>
        <v>43224</v>
      </c>
      <c r="D52" s="9">
        <v>155.39667722977197</v>
      </c>
    </row>
    <row r="53" spans="2:4" x14ac:dyDescent="0.35">
      <c r="B53" s="3" t="s">
        <v>22</v>
      </c>
      <c r="C53" s="4">
        <f t="shared" si="15"/>
        <v>43223</v>
      </c>
      <c r="D53" s="9">
        <v>155.59313364609662</v>
      </c>
    </row>
    <row r="54" spans="2:4" x14ac:dyDescent="0.35">
      <c r="B54" s="3" t="s">
        <v>22</v>
      </c>
      <c r="C54" s="4">
        <f t="shared" si="15"/>
        <v>43222</v>
      </c>
      <c r="D54" s="9">
        <v>115.09046630360349</v>
      </c>
    </row>
    <row r="55" spans="2:4" x14ac:dyDescent="0.35">
      <c r="B55" s="3" t="s">
        <v>23</v>
      </c>
      <c r="C55" s="4">
        <v>43235</v>
      </c>
      <c r="D55" s="9">
        <v>114.14096978678825</v>
      </c>
    </row>
    <row r="56" spans="2:4" x14ac:dyDescent="0.35">
      <c r="B56" s="3" t="s">
        <v>23</v>
      </c>
      <c r="C56" s="4">
        <f>WORKDAY(C55,-1)</f>
        <v>43234</v>
      </c>
      <c r="D56" s="9">
        <v>134.68882078662392</v>
      </c>
    </row>
    <row r="57" spans="2:4" x14ac:dyDescent="0.35">
      <c r="B57" s="3" t="s">
        <v>23</v>
      </c>
      <c r="C57" s="4">
        <f t="shared" ref="C57:C64" si="16">WORKDAY(C56,-1)</f>
        <v>43231</v>
      </c>
      <c r="D57" s="9">
        <v>159.5556048983612</v>
      </c>
    </row>
    <row r="58" spans="2:4" x14ac:dyDescent="0.35">
      <c r="B58" s="3" t="s">
        <v>23</v>
      </c>
      <c r="C58" s="4">
        <f t="shared" si="16"/>
        <v>43230</v>
      </c>
      <c r="D58" s="9">
        <v>129.76712419648294</v>
      </c>
    </row>
    <row r="59" spans="2:4" x14ac:dyDescent="0.35">
      <c r="B59" s="3" t="s">
        <v>23</v>
      </c>
      <c r="C59" s="4">
        <f t="shared" si="16"/>
        <v>43229</v>
      </c>
      <c r="D59" s="9">
        <v>116.20060945122906</v>
      </c>
    </row>
    <row r="60" spans="2:4" x14ac:dyDescent="0.35">
      <c r="B60" s="3" t="s">
        <v>23</v>
      </c>
      <c r="C60" s="4">
        <f t="shared" si="16"/>
        <v>43228</v>
      </c>
      <c r="D60" s="9">
        <v>122.22285216676262</v>
      </c>
    </row>
    <row r="61" spans="2:4" x14ac:dyDescent="0.35">
      <c r="B61" s="3" t="s">
        <v>23</v>
      </c>
      <c r="C61" s="4">
        <f t="shared" si="16"/>
        <v>43227</v>
      </c>
      <c r="D61" s="9">
        <v>140.01898439502685</v>
      </c>
    </row>
    <row r="62" spans="2:4" x14ac:dyDescent="0.35">
      <c r="B62" s="3" t="s">
        <v>23</v>
      </c>
      <c r="C62" s="4">
        <f t="shared" si="16"/>
        <v>43224</v>
      </c>
      <c r="D62" s="9">
        <v>120.84525313080513</v>
      </c>
    </row>
    <row r="63" spans="2:4" x14ac:dyDescent="0.35">
      <c r="B63" s="3" t="s">
        <v>23</v>
      </c>
      <c r="C63" s="4">
        <f t="shared" si="16"/>
        <v>43223</v>
      </c>
      <c r="D63" s="9">
        <v>142.45670923232393</v>
      </c>
    </row>
    <row r="64" spans="2:4" x14ac:dyDescent="0.35">
      <c r="B64" s="3" t="s">
        <v>23</v>
      </c>
      <c r="C64" s="4">
        <f t="shared" si="16"/>
        <v>43222</v>
      </c>
      <c r="D64" s="9">
        <v>108.77283893203821</v>
      </c>
    </row>
    <row r="65" spans="2:4" x14ac:dyDescent="0.35">
      <c r="B65" s="16" t="s">
        <v>27</v>
      </c>
      <c r="C65" s="17">
        <f>C55</f>
        <v>43235</v>
      </c>
      <c r="D65" s="19">
        <f>SUM(D5,D15,D25,D35,D45,D55)</f>
        <v>979.64697012670388</v>
      </c>
    </row>
    <row r="66" spans="2:4" x14ac:dyDescent="0.35">
      <c r="B66" s="13" t="s">
        <v>27</v>
      </c>
      <c r="C66" s="18">
        <f t="shared" ref="C66:C74" si="17">C56</f>
        <v>43234</v>
      </c>
      <c r="D66" s="20">
        <f t="shared" ref="D66:D74" si="18">SUM(D6,D16,D26,D36,D46,D56)</f>
        <v>950.79658424867534</v>
      </c>
    </row>
    <row r="67" spans="2:4" x14ac:dyDescent="0.35">
      <c r="B67" s="13" t="s">
        <v>27</v>
      </c>
      <c r="C67" s="18">
        <f t="shared" si="17"/>
        <v>43231</v>
      </c>
      <c r="D67" s="20">
        <f t="shared" si="18"/>
        <v>836.10862868492768</v>
      </c>
    </row>
    <row r="68" spans="2:4" x14ac:dyDescent="0.35">
      <c r="B68" s="13" t="s">
        <v>27</v>
      </c>
      <c r="C68" s="18">
        <f t="shared" si="17"/>
        <v>43230</v>
      </c>
      <c r="D68" s="20">
        <f t="shared" si="18"/>
        <v>839.26317146136694</v>
      </c>
    </row>
    <row r="69" spans="2:4" x14ac:dyDescent="0.35">
      <c r="B69" s="13" t="s">
        <v>27</v>
      </c>
      <c r="C69" s="18">
        <f t="shared" si="17"/>
        <v>43229</v>
      </c>
      <c r="D69" s="20">
        <f t="shared" si="18"/>
        <v>868.2015992724663</v>
      </c>
    </row>
    <row r="70" spans="2:4" x14ac:dyDescent="0.35">
      <c r="B70" s="13" t="s">
        <v>27</v>
      </c>
      <c r="C70" s="18">
        <f t="shared" si="17"/>
        <v>43228</v>
      </c>
      <c r="D70" s="20">
        <f t="shared" si="18"/>
        <v>941.98906359478485</v>
      </c>
    </row>
    <row r="71" spans="2:4" x14ac:dyDescent="0.35">
      <c r="B71" s="13" t="s">
        <v>27</v>
      </c>
      <c r="C71" s="18">
        <f t="shared" si="17"/>
        <v>43227</v>
      </c>
      <c r="D71" s="20">
        <f t="shared" si="18"/>
        <v>788.66099750827925</v>
      </c>
    </row>
    <row r="72" spans="2:4" x14ac:dyDescent="0.35">
      <c r="B72" s="13" t="s">
        <v>27</v>
      </c>
      <c r="C72" s="18">
        <f t="shared" si="17"/>
        <v>43224</v>
      </c>
      <c r="D72" s="20">
        <f t="shared" si="18"/>
        <v>905.30041929621302</v>
      </c>
    </row>
    <row r="73" spans="2:4" x14ac:dyDescent="0.35">
      <c r="B73" s="13" t="s">
        <v>27</v>
      </c>
      <c r="C73" s="18">
        <f t="shared" si="17"/>
        <v>43223</v>
      </c>
      <c r="D73" s="20">
        <f t="shared" si="18"/>
        <v>892.85424821929769</v>
      </c>
    </row>
    <row r="74" spans="2:4" x14ac:dyDescent="0.35">
      <c r="B74" s="13" t="s">
        <v>27</v>
      </c>
      <c r="C74" s="18">
        <f t="shared" si="17"/>
        <v>43222</v>
      </c>
      <c r="D74" s="20">
        <f t="shared" si="18"/>
        <v>876.27738571934617</v>
      </c>
    </row>
  </sheetData>
  <conditionalFormatting sqref="G5:L17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Homework</vt:lpstr>
      <vt:lpstr>MarketData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dcterms:created xsi:type="dcterms:W3CDTF">2006-09-16T00:00:00Z</dcterms:created>
  <dcterms:modified xsi:type="dcterms:W3CDTF">2018-06-08T17:24:23Z</dcterms:modified>
</cp:coreProperties>
</file>