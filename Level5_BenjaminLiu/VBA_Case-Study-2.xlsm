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5_BenjaminLiu\"/>
    </mc:Choice>
  </mc:AlternateContent>
  <xr:revisionPtr revIDLastSave="0" documentId="13_ncr:1_{3EC9C9B7-6F74-4112-9E58-1AB84D7EFA48}" xr6:coauthVersionLast="32" xr6:coauthVersionMax="32" xr10:uidLastSave="{00000000-0000-0000-0000-000000000000}"/>
  <bookViews>
    <workbookView xWindow="0" yWindow="0" windowWidth="19200" windowHeight="7060" xr2:uid="{00000000-000D-0000-FFFF-FFFF00000000}"/>
  </bookViews>
  <sheets>
    <sheet name="Input" sheetId="4" r:id="rId1"/>
    <sheet name="Report" sheetId="8" r:id="rId2"/>
    <sheet name="Output" sheetId="2" r:id="rId3"/>
    <sheet name="Market Data" sheetId="3" r:id="rId4"/>
    <sheet name="Yield Curve" sheetId="5" r:id="rId5"/>
    <sheet name="RiskFreeRate" sheetId="7" r:id="rId6"/>
  </sheets>
  <functionGroups builtInGroupCount="19"/>
  <definedNames>
    <definedName name="Close_Price">'Market Data'!$C$1:$C$98</definedName>
    <definedName name="Coupon">Input!$F$1:$F$6</definedName>
    <definedName name="Coupon_Margin">Input!$G$1:$G$6</definedName>
    <definedName name="Discount_Rate">RiskFreeRate!$B$1:$B$101</definedName>
    <definedName name="Forward_Rate">'Yield Curve'!$F$4:$F$103</definedName>
    <definedName name="FRN_Date">'Yield Curve'!$G$4:$G$100</definedName>
    <definedName name="Instrument_Type">Input!$B$1:$B$6</definedName>
    <definedName name="Notional">Input!$E$1:$E$6</definedName>
    <definedName name="Position_ID">Input!$A$1:$A$6</definedName>
    <definedName name="Quantity">Input!$D$1:$D$6</definedName>
    <definedName name="Riskfree_Date">RiskFreeRate!$A$1:$A$101</definedName>
    <definedName name="Stock_Date">'Market Data'!$A$1:$A$98</definedName>
    <definedName name="Ticker">Input!$C$1:$C$6</definedName>
    <definedName name="Yield">'Yield Curve'!$E$4:$E$103</definedName>
  </definedNames>
  <calcPr calcId="179017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C13" i="8" l="1"/>
  <c r="C14" i="8"/>
  <c r="C15" i="8"/>
  <c r="C16" i="8"/>
  <c r="C17" i="8"/>
  <c r="B17" i="8"/>
  <c r="B16" i="8"/>
  <c r="B15" i="8"/>
  <c r="B14" i="8"/>
  <c r="B13" i="8"/>
  <c r="D4" i="5" a="1"/>
  <c r="E4" i="5" l="1"/>
  <c r="E6" i="5"/>
  <c r="E8" i="5"/>
  <c r="E10" i="5"/>
  <c r="E12" i="5"/>
  <c r="E14" i="5"/>
  <c r="E16" i="5"/>
  <c r="E18" i="5"/>
  <c r="E20" i="5"/>
  <c r="E22" i="5"/>
  <c r="E24" i="5"/>
  <c r="E26" i="5"/>
  <c r="E28" i="5"/>
  <c r="E30" i="5"/>
  <c r="E32" i="5"/>
  <c r="E34" i="5"/>
  <c r="E36" i="5"/>
  <c r="E38" i="5"/>
  <c r="E40" i="5"/>
  <c r="E42" i="5"/>
  <c r="E44" i="5"/>
  <c r="E46" i="5"/>
  <c r="E48" i="5"/>
  <c r="E50" i="5"/>
  <c r="E52" i="5"/>
  <c r="E54" i="5"/>
  <c r="E56" i="5"/>
  <c r="E58" i="5"/>
  <c r="E60" i="5"/>
  <c r="E62" i="5"/>
  <c r="E64" i="5"/>
  <c r="E66" i="5"/>
  <c r="E68" i="5"/>
  <c r="E70" i="5"/>
  <c r="E72" i="5"/>
  <c r="E74" i="5"/>
  <c r="E76" i="5"/>
  <c r="E78" i="5"/>
  <c r="E80" i="5"/>
  <c r="E82" i="5"/>
  <c r="E84" i="5"/>
  <c r="E86" i="5"/>
  <c r="E88" i="5"/>
  <c r="E90" i="5"/>
  <c r="E92" i="5"/>
  <c r="E94" i="5"/>
  <c r="E96" i="5"/>
  <c r="E98" i="5"/>
  <c r="E100" i="5"/>
  <c r="E102" i="5"/>
  <c r="E5" i="5"/>
  <c r="E7" i="5"/>
  <c r="E9" i="5"/>
  <c r="E11" i="5"/>
  <c r="E13" i="5"/>
  <c r="E15" i="5"/>
  <c r="E17" i="5"/>
  <c r="E19" i="5"/>
  <c r="E21" i="5"/>
  <c r="E23" i="5"/>
  <c r="E25" i="5"/>
  <c r="E27" i="5"/>
  <c r="E29" i="5"/>
  <c r="E31" i="5"/>
  <c r="E33" i="5"/>
  <c r="E35" i="5"/>
  <c r="E37" i="5"/>
  <c r="E39" i="5"/>
  <c r="E41" i="5"/>
  <c r="E43" i="5"/>
  <c r="E45" i="5"/>
  <c r="E47" i="5"/>
  <c r="E49" i="5"/>
  <c r="E51" i="5"/>
  <c r="E53" i="5"/>
  <c r="E55" i="5"/>
  <c r="E57" i="5"/>
  <c r="E59" i="5"/>
  <c r="E61" i="5"/>
  <c r="E63" i="5"/>
  <c r="E65" i="5"/>
  <c r="E67" i="5"/>
  <c r="E69" i="5"/>
  <c r="E71" i="5"/>
  <c r="E73" i="5"/>
  <c r="D5" i="5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D57" i="5"/>
  <c r="D59" i="5"/>
  <c r="D61" i="5"/>
  <c r="D63" i="5"/>
  <c r="D65" i="5"/>
  <c r="D67" i="5"/>
  <c r="D69" i="5"/>
  <c r="D71" i="5"/>
  <c r="D73" i="5"/>
  <c r="D75" i="5"/>
  <c r="D77" i="5"/>
  <c r="D79" i="5"/>
  <c r="D81" i="5"/>
  <c r="D83" i="5"/>
  <c r="D85" i="5"/>
  <c r="D87" i="5"/>
  <c r="D89" i="5"/>
  <c r="D91" i="5"/>
  <c r="D93" i="5"/>
  <c r="D95" i="5"/>
  <c r="D97" i="5"/>
  <c r="D99" i="5"/>
  <c r="D101" i="5"/>
  <c r="D103" i="5"/>
  <c r="D8" i="5"/>
  <c r="D16" i="5"/>
  <c r="D24" i="5"/>
  <c r="D32" i="5"/>
  <c r="D40" i="5"/>
  <c r="D48" i="5"/>
  <c r="D56" i="5"/>
  <c r="D64" i="5"/>
  <c r="D72" i="5"/>
  <c r="E77" i="5"/>
  <c r="E81" i="5"/>
  <c r="E85" i="5"/>
  <c r="E89" i="5"/>
  <c r="E93" i="5"/>
  <c r="E97" i="5"/>
  <c r="E101" i="5"/>
  <c r="E83" i="5"/>
  <c r="E91" i="5"/>
  <c r="E99" i="5"/>
  <c r="D6" i="5"/>
  <c r="D22" i="5"/>
  <c r="D46" i="5"/>
  <c r="D62" i="5"/>
  <c r="D76" i="5"/>
  <c r="D84" i="5"/>
  <c r="D92" i="5"/>
  <c r="D100" i="5"/>
  <c r="D10" i="5"/>
  <c r="D18" i="5"/>
  <c r="D26" i="5"/>
  <c r="D34" i="5"/>
  <c r="D42" i="5"/>
  <c r="D50" i="5"/>
  <c r="D58" i="5"/>
  <c r="D66" i="5"/>
  <c r="D74" i="5"/>
  <c r="D78" i="5"/>
  <c r="D82" i="5"/>
  <c r="D86" i="5"/>
  <c r="D90" i="5"/>
  <c r="D94" i="5"/>
  <c r="D98" i="5"/>
  <c r="D102" i="5"/>
  <c r="D4" i="5"/>
  <c r="D12" i="5"/>
  <c r="D20" i="5"/>
  <c r="D28" i="5"/>
  <c r="D36" i="5"/>
  <c r="D44" i="5"/>
  <c r="D52" i="5"/>
  <c r="D60" i="5"/>
  <c r="D68" i="5"/>
  <c r="E75" i="5"/>
  <c r="E79" i="5"/>
  <c r="E87" i="5"/>
  <c r="E95" i="5"/>
  <c r="E103" i="5"/>
  <c r="D14" i="5"/>
  <c r="D30" i="5"/>
  <c r="D38" i="5"/>
  <c r="D54" i="5"/>
  <c r="D70" i="5"/>
  <c r="D80" i="5"/>
  <c r="D88" i="5"/>
  <c r="D96" i="5"/>
  <c r="F94" i="5"/>
  <c r="F85" i="5"/>
  <c r="F77" i="5"/>
  <c r="F51" i="5"/>
  <c r="F97" i="5"/>
  <c r="F101" i="5"/>
  <c r="F100" i="5"/>
  <c r="F17" i="5"/>
  <c r="F27" i="5"/>
  <c r="F56" i="5"/>
  <c r="F31" i="5"/>
  <c r="F57" i="5"/>
  <c r="F37" i="5"/>
  <c r="F64" i="5"/>
  <c r="F76" i="5"/>
  <c r="F30" i="5"/>
  <c r="F18" i="5"/>
  <c r="F72" i="5"/>
  <c r="F75" i="5"/>
  <c r="F28" i="5"/>
  <c r="F38" i="5"/>
  <c r="F8" i="5"/>
  <c r="F26" i="5"/>
  <c r="F4" i="5"/>
  <c r="F15" i="5"/>
  <c r="F78" i="5"/>
  <c r="F74" i="5"/>
  <c r="F36" i="5"/>
  <c r="F16" i="5"/>
  <c r="F86" i="5"/>
  <c r="F82" i="5"/>
  <c r="F93" i="5"/>
  <c r="F49" i="5"/>
  <c r="F59" i="5"/>
  <c r="F29" i="5"/>
  <c r="F83" i="5"/>
  <c r="F62" i="5"/>
  <c r="F58" i="5"/>
  <c r="F96" i="5"/>
  <c r="F65" i="5"/>
  <c r="F35" i="5"/>
  <c r="F47" i="5"/>
  <c r="F69" i="5"/>
  <c r="F84" i="5"/>
  <c r="F60" i="5"/>
  <c r="F11" i="5"/>
  <c r="F40" i="5"/>
  <c r="F7" i="5"/>
  <c r="F9" i="5"/>
  <c r="F48" i="5"/>
  <c r="F81" i="5"/>
  <c r="F71" i="5"/>
  <c r="F41" i="5"/>
  <c r="F21" i="5"/>
  <c r="F99" i="5"/>
  <c r="F89" i="5"/>
  <c r="F12" i="5"/>
  <c r="F22" i="5"/>
  <c r="F39" i="5"/>
  <c r="F61" i="5"/>
  <c r="F91" i="5"/>
  <c r="F10" i="5"/>
  <c r="F87" i="5"/>
  <c r="F95" i="5"/>
  <c r="F20" i="5"/>
  <c r="F55" i="5"/>
  <c r="F70" i="5"/>
  <c r="F66" i="5"/>
  <c r="F73" i="5"/>
  <c r="F33" i="5"/>
  <c r="F43" i="5"/>
  <c r="F13" i="5"/>
  <c r="F63" i="5"/>
  <c r="F14" i="5"/>
  <c r="F53" i="5"/>
  <c r="F80" i="5"/>
  <c r="F103" i="5"/>
  <c r="F46" i="5"/>
  <c r="F34" i="5"/>
  <c r="F88" i="5"/>
  <c r="F68" i="5"/>
  <c r="F44" i="5"/>
  <c r="F54" i="5"/>
  <c r="F24" i="5"/>
  <c r="F50" i="5"/>
  <c r="F52" i="5"/>
  <c r="F32" i="5"/>
  <c r="F102" i="5"/>
  <c r="F90" i="5"/>
  <c r="F25" i="5"/>
  <c r="F5" i="5"/>
  <c r="F67" i="5"/>
  <c r="F98" i="5"/>
  <c r="F79" i="5"/>
  <c r="F6" i="5"/>
  <c r="F42" i="5"/>
  <c r="F45" i="5"/>
  <c r="F92" i="5"/>
  <c r="F19" i="5"/>
  <c r="F23" i="5"/>
</calcChain>
</file>

<file path=xl/sharedStrings.xml><?xml version="1.0" encoding="utf-8"?>
<sst xmlns="http://schemas.openxmlformats.org/spreadsheetml/2006/main" count="60" uniqueCount="46">
  <si>
    <t>Date</t>
  </si>
  <si>
    <t>Ticker</t>
  </si>
  <si>
    <t>Close_Price</t>
  </si>
  <si>
    <t>Instrument_Type</t>
  </si>
  <si>
    <t>Notional</t>
  </si>
  <si>
    <t>Quantity</t>
  </si>
  <si>
    <t>Coupon</t>
  </si>
  <si>
    <t>Position_ID</t>
  </si>
  <si>
    <t>Value</t>
  </si>
  <si>
    <t>COB</t>
  </si>
  <si>
    <t>Rate</t>
  </si>
  <si>
    <t>Portfolio VaR</t>
  </si>
  <si>
    <t>Marginal VaRs of Instruments</t>
  </si>
  <si>
    <t>Returns for Portfolio and Instruments</t>
  </si>
  <si>
    <t>Graphs of Returns</t>
  </si>
  <si>
    <t>Bond</t>
  </si>
  <si>
    <t>Floater</t>
  </si>
  <si>
    <t>Cash</t>
  </si>
  <si>
    <t>APPL</t>
  </si>
  <si>
    <t>Maturity_Date</t>
  </si>
  <si>
    <t>Currency</t>
  </si>
  <si>
    <t>USD</t>
  </si>
  <si>
    <t>Recommendation</t>
  </si>
  <si>
    <t>Years</t>
  </si>
  <si>
    <t>5/14/2018 Yield</t>
  </si>
  <si>
    <t>Yield</t>
  </si>
  <si>
    <t>Forward Rate</t>
  </si>
  <si>
    <t>Coupon_Margin</t>
  </si>
  <si>
    <t>APPL.BOND001.12M</t>
  </si>
  <si>
    <t>APPL.FRN001.12M</t>
  </si>
  <si>
    <t>APPL.FRN002.50M</t>
  </si>
  <si>
    <t>&lt;--Data paste here</t>
  </si>
  <si>
    <t>Frequency</t>
  </si>
  <si>
    <t>A</t>
  </si>
  <si>
    <t>B</t>
  </si>
  <si>
    <t>C</t>
  </si>
  <si>
    <t>D</t>
  </si>
  <si>
    <t>E</t>
  </si>
  <si>
    <t>Portfolio</t>
  </si>
  <si>
    <t>Asset Type</t>
  </si>
  <si>
    <t>VaR</t>
  </si>
  <si>
    <t>Returns</t>
  </si>
  <si>
    <t>Equity</t>
  </si>
  <si>
    <t>Database Folder path</t>
  </si>
  <si>
    <t>e.g.  C:\G_project\VBAAssignmentSolution\Level5_BenjaminLiu</t>
  </si>
  <si>
    <t>C:\G_project\VBAAssignmentSolution\Level5_BenjaminLiu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</si>
</sst>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 applyAlignment="1">
      <alignment horizontal="left"/>
    </xf>
    <xf numFmtId="164" fontId="0" fillId="0" borderId="0" xfId="1" applyNumberFormat="1" applyFont="1"/>
    <xf numFmtId="0" fontId="0" fillId="2" borderId="1" xfId="0" applyFill="1" applyBorder="1"/>
    <xf numFmtId="2" fontId="0" fillId="0" borderId="1" xfId="0" applyNumberFormat="1" applyBorder="1"/>
    <xf numFmtId="10" fontId="0" fillId="0" borderId="1" xfId="1" applyNumberFormat="1" applyFont="1" applyBorder="1"/>
    <xf numFmtId="0" fontId="0" fillId="0" borderId="1" xfId="0" applyBorder="1"/>
    <xf numFmtId="0" fontId="2" fillId="0" borderId="1" xfId="0" applyFont="1" applyBorder="1"/>
    <xf numFmtId="10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/>
    <xf numFmtId="14" fontId="0" fillId="0" borderId="1" xfId="0" applyNumberFormat="1" applyBorder="1" applyAlignment="1">
      <alignment horizontal="left"/>
    </xf>
    <xf numFmtId="2" fontId="0" fillId="2" borderId="1" xfId="0" applyNumberFormat="1" applyFill="1" applyBorder="1"/>
    <xf numFmtId="8" fontId="0" fillId="0" borderId="1" xfId="0" applyNumberFormat="1" applyBorder="1"/>
    <xf numFmtId="14" fontId="0" fillId="2" borderId="1" xfId="0" applyNumberFormat="1" applyFill="1" applyBorder="1"/>
    <xf numFmtId="14" fontId="0" fillId="0" borderId="0" xfId="0" applyNumberFormat="1"/>
    <xf numFmtId="165" fontId="0" fillId="0" borderId="1" xfId="0" applyNumberFormat="1" applyBorder="1"/>
    <xf numFmtId="8" fontId="0" fillId="0" borderId="1" xfId="2" applyNumberFormat="1" applyFont="1" applyBorder="1"/>
    <xf numFmtId="0" fontId="0" fillId="0" borderId="2" xfId="0" applyBorder="1" applyAlignment="1">
      <alignment horizontal="center" vertical="center"/>
    </xf>
    <xf numFmtId="43" fontId="0" fillId="3" borderId="1" xfId="3" applyFont="1" applyFill="1" applyBorder="1"/>
    <xf numFmtId="10" fontId="2" fillId="3" borderId="1" xfId="0" applyNumberFormat="1" applyFont="1" applyFill="1" applyBorder="1"/>
    <xf numFmtId="10" fontId="0" fillId="3" borderId="1" xfId="0" applyNumberFormat="1" applyFill="1" applyBorder="1"/>
    <xf numFmtId="43" fontId="0" fillId="0" borderId="1" xfId="3" applyFont="1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8" fontId="2" fillId="0" borderId="1" xfId="0" applyNumberFormat="1" applyFont="1" applyBorder="1"/>
    <xf numFmtId="14" fontId="0" fillId="0" borderId="2" xfId="0" applyNumberFormat="1" applyBorder="1" applyAlignment="1">
      <alignment horizontal="center" vertical="center"/>
    </xf>
    <xf numFmtId="0" fontId="2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6" xfId="0" applyBorder="1"/>
  </cellXfs>
  <cellStyles count="4">
    <cellStyle name="千位分隔" xfId="3" builtinId="3"/>
    <cellStyle name="常规" xfId="0" builtinId="0"/>
    <cellStyle name="百分比" xfId="1" builtinId="5"/>
    <cellStyle name="货币" xfId="2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Report!$D$11</c:f>
              <c:strCache>
                <c:ptCount val="1"/>
                <c:pt idx="0">
                  <c:v>Returns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Report!$B$12:$B$17</c:f>
              <c:strCache>
                <c:ptCount val="6"/>
                <c:pt idx="0">
                  <c:v> Portfolio </c:v>
                </c:pt>
                <c:pt idx="1">
                  <c:v> Equity </c:v>
                </c:pt>
                <c:pt idx="2">
                  <c:v> Bond </c:v>
                </c:pt>
                <c:pt idx="3">
                  <c:v> Floater </c:v>
                </c:pt>
                <c:pt idx="4">
                  <c:v> Cash </c:v>
                </c:pt>
                <c:pt idx="5">
                  <c:v> Floater </c:v>
                </c:pt>
              </c:strCache>
            </c:strRef>
          </c:cat>
          <c:val>
            <c:numRef>
              <c:f>Report!$D$12:$D$17</c:f>
              <c:numCache>
                <c:formatCode>0.00%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2676-4054-9DA0-13D5D54CC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1538536"/>
        <c:axId val="711513608"/>
      </c:barChart>
      <c:catAx>
        <c:axId val="71153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13608"/>
        <c:crosses val="autoZero"/>
        <c:auto val="1"/>
        <c:lblAlgn val="ctr"/>
        <c:lblOffset val="100"/>
        <c:noMultiLvlLbl val="0"/>
      </c:catAx>
      <c:valAx>
        <c:axId val="7115136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Report!$E$11</c:f>
              <c:strCache>
                <c:ptCount val="1"/>
                <c:pt idx="0">
                  <c:v>VaR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Report!$B$12:$B$17</c:f>
              <c:strCache>
                <c:ptCount val="6"/>
                <c:pt idx="0">
                  <c:v> Portfolio </c:v>
                </c:pt>
                <c:pt idx="1">
                  <c:v> Equity </c:v>
                </c:pt>
                <c:pt idx="2">
                  <c:v> Bond </c:v>
                </c:pt>
                <c:pt idx="3">
                  <c:v> Floater </c:v>
                </c:pt>
                <c:pt idx="4">
                  <c:v> Cash </c:v>
                </c:pt>
                <c:pt idx="5">
                  <c:v> Floater </c:v>
                </c:pt>
              </c:strCache>
            </c:strRef>
          </c:cat>
          <c:val>
            <c:numRef>
              <c:f>Report!$E$12:$E$17</c:f>
              <c:numCache>
                <c:formatCode>0.00%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53B-4753-B903-810B1884C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0992312"/>
        <c:axId val="700997560"/>
      </c:barChart>
      <c:catAx>
        <c:axId val="70099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7560"/>
        <c:crosses val="autoZero"/>
        <c:auto val="1"/>
        <c:lblAlgn val="ctr"/>
        <c:lblOffset val="100"/>
        <c:noMultiLvlLbl val="0"/>
      </c:catAx>
      <c:valAx>
        <c:axId val="7009975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3</xdr:row>
          <xdr:rowOff>133350</xdr:rowOff>
        </xdr:from>
        <xdr:to>
          <xdr:col>11</xdr:col>
          <xdr:colOff>450850</xdr:colOff>
          <xdr:row>7</xdr:row>
          <xdr:rowOff>44450</xdr:rowOff>
        </xdr:to>
        <xdr:sp macro="" textlink="">
          <xdr:nvSpPr>
            <xdr:cNvPr id="5121" name="ComplieRe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395536</xdr:colOff>
      <xdr:row>7</xdr:row>
      <xdr:rowOff>36111</xdr:rowOff>
    </xdr:from>
    <xdr:to>
      <xdr:col>14</xdr:col>
      <xdr:colOff>71151</xdr:colOff>
      <xdr:row>22</xdr:row>
      <xdr:rowOff>25094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426139</xdr:colOff>
      <xdr:row>23</xdr:row>
      <xdr:rowOff>51411</xdr:rowOff>
    </xdr:from>
    <xdr:to>
      <xdr:col>14</xdr:col>
      <xdr:colOff>101754</xdr:colOff>
      <xdr:row>38</xdr:row>
      <xdr:rowOff>40395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R51"/>
  <sheetViews>
    <sheetView showGridLines="0" tabSelected="1" topLeftCell="B1" zoomScale="92" zoomScaleNormal="130" workbookViewId="0">
      <selection activeCell="K17" sqref="K17"/>
    </sheetView>
  </sheetViews>
  <sheetFormatPr defaultRowHeight="14.5" x14ac:dyDescent="0.35"/>
  <cols>
    <col min="1" max="1" width="11.1796875" bestFit="1" customWidth="1"/>
    <col min="2" max="2" width="16.26953125" bestFit="1" customWidth="1"/>
    <col min="4" max="5" width="8.7265625" bestFit="1" customWidth="1"/>
    <col min="8" max="8" width="13.81640625" bestFit="1" customWidth="1"/>
    <col min="10" max="10" width="11.1796875" bestFit="1" customWidth="1"/>
    <col min="12" max="12" width="10.1796875" customWidth="1"/>
  </cols>
  <sheetData>
    <row r="1" spans="1:18" x14ac:dyDescent="0.35">
      <c r="A1" s="3" t="s">
        <v>7</v>
      </c>
      <c r="B1" s="3" t="s">
        <v>3</v>
      </c>
      <c r="C1" s="3" t="s">
        <v>1</v>
      </c>
      <c r="D1" s="3" t="s">
        <v>5</v>
      </c>
      <c r="E1" s="3" t="s">
        <v>4</v>
      </c>
      <c r="F1" s="3" t="s">
        <v>6</v>
      </c>
      <c r="G1" s="3" t="s">
        <v>27</v>
      </c>
      <c r="H1" s="3" t="s">
        <v>19</v>
      </c>
      <c r="I1" s="3" t="s">
        <v>20</v>
      </c>
    </row>
    <row r="2" spans="1:18" x14ac:dyDescent="0.35">
      <c r="A2" s="11">
        <v>1</v>
      </c>
      <c r="B2" s="6" t="s">
        <v>42</v>
      </c>
      <c r="C2" s="6" t="s">
        <v>18</v>
      </c>
      <c r="D2" s="6">
        <v>10</v>
      </c>
      <c r="E2" s="13"/>
      <c r="F2" s="8"/>
      <c r="G2" s="8"/>
      <c r="H2" s="6"/>
      <c r="I2" s="6" t="s">
        <v>21</v>
      </c>
      <c r="K2" s="32" t="s">
        <v>43</v>
      </c>
      <c r="L2" s="31"/>
      <c r="M2" s="29" t="s">
        <v>45</v>
      </c>
      <c r="N2" s="30"/>
      <c r="O2" s="30"/>
      <c r="P2" s="30"/>
      <c r="Q2" s="30"/>
      <c r="R2" s="31"/>
    </row>
    <row r="3" spans="1:18" x14ac:dyDescent="0.35">
      <c r="A3" s="11">
        <v>2</v>
      </c>
      <c r="B3" s="6" t="s">
        <v>15</v>
      </c>
      <c r="C3" s="6" t="s">
        <v>28</v>
      </c>
      <c r="D3" s="6"/>
      <c r="E3" s="13">
        <v>100</v>
      </c>
      <c r="F3" s="8">
        <v>0.08</v>
      </c>
      <c r="G3" s="8"/>
      <c r="H3" s="10">
        <v>43251</v>
      </c>
      <c r="I3" s="6" t="s">
        <v>21</v>
      </c>
      <c r="L3" t="s">
        <v>44</v>
      </c>
    </row>
    <row r="4" spans="1:18" x14ac:dyDescent="0.35">
      <c r="A4" s="11">
        <v>3</v>
      </c>
      <c r="B4" s="6" t="s">
        <v>16</v>
      </c>
      <c r="C4" s="6" t="s">
        <v>29</v>
      </c>
      <c r="D4" s="6"/>
      <c r="E4" s="13">
        <v>100</v>
      </c>
      <c r="F4" s="8"/>
      <c r="G4" s="8">
        <v>0.03</v>
      </c>
      <c r="H4" s="10">
        <v>43251</v>
      </c>
      <c r="I4" s="6" t="s">
        <v>21</v>
      </c>
    </row>
    <row r="5" spans="1:18" x14ac:dyDescent="0.35">
      <c r="A5" s="11">
        <v>4</v>
      </c>
      <c r="B5" s="6" t="s">
        <v>17</v>
      </c>
      <c r="C5" s="6" t="s">
        <v>21</v>
      </c>
      <c r="D5" s="6">
        <v>1000</v>
      </c>
      <c r="E5" s="13"/>
      <c r="F5" s="8"/>
      <c r="G5" s="8"/>
      <c r="H5" s="6"/>
      <c r="I5" s="6" t="s">
        <v>21</v>
      </c>
    </row>
    <row r="6" spans="1:18" x14ac:dyDescent="0.35">
      <c r="A6" s="11">
        <v>5</v>
      </c>
      <c r="B6" s="6" t="s">
        <v>16</v>
      </c>
      <c r="C6" s="6" t="s">
        <v>30</v>
      </c>
      <c r="D6" s="6"/>
      <c r="E6" s="13">
        <v>100</v>
      </c>
      <c r="F6" s="8"/>
      <c r="G6" s="8">
        <v>0.09</v>
      </c>
      <c r="H6" s="10">
        <v>43251</v>
      </c>
      <c r="I6" s="6" t="s">
        <v>21</v>
      </c>
    </row>
    <row r="7" spans="1:18" x14ac:dyDescent="0.35">
      <c r="A7" s="11"/>
      <c r="B7" s="6"/>
      <c r="C7" s="6"/>
      <c r="D7" s="6"/>
      <c r="E7" s="6"/>
      <c r="F7" s="6"/>
      <c r="G7" s="6"/>
      <c r="H7" s="6"/>
      <c r="I7" s="6"/>
    </row>
    <row r="8" spans="1:18" x14ac:dyDescent="0.35">
      <c r="A8" s="11"/>
      <c r="B8" s="6"/>
      <c r="C8" s="6"/>
      <c r="D8" s="6"/>
      <c r="E8" s="6"/>
      <c r="F8" s="6"/>
      <c r="G8" s="6"/>
      <c r="H8" s="6"/>
      <c r="I8" s="6"/>
    </row>
    <row r="9" spans="1:18" x14ac:dyDescent="0.35">
      <c r="A9" s="11"/>
      <c r="B9" s="6"/>
      <c r="C9" s="6"/>
      <c r="D9" s="6"/>
      <c r="E9" s="6"/>
      <c r="F9" s="6"/>
      <c r="G9" s="6"/>
      <c r="H9" s="6"/>
      <c r="I9" s="6"/>
    </row>
    <row r="10" spans="1:18" x14ac:dyDescent="0.35">
      <c r="A10" s="11"/>
      <c r="B10" s="6"/>
      <c r="C10" s="6"/>
      <c r="D10" s="6"/>
      <c r="E10" s="6"/>
      <c r="F10" s="6"/>
      <c r="G10" s="6"/>
      <c r="H10" s="6"/>
      <c r="I10" s="6"/>
    </row>
    <row r="11" spans="1:18" x14ac:dyDescent="0.35">
      <c r="A11" s="11"/>
      <c r="B11" s="6"/>
      <c r="C11" s="6"/>
      <c r="D11" s="6"/>
      <c r="E11" s="6"/>
      <c r="F11" s="6"/>
      <c r="G11" s="6"/>
      <c r="H11" s="6"/>
      <c r="I11" s="6"/>
    </row>
    <row r="12" spans="1:18" x14ac:dyDescent="0.35">
      <c r="A12" s="11"/>
      <c r="B12" s="6"/>
      <c r="C12" s="6"/>
      <c r="D12" s="6"/>
      <c r="E12" s="6"/>
      <c r="F12" s="6"/>
      <c r="G12" s="6"/>
      <c r="H12" s="6"/>
      <c r="I12" s="6"/>
    </row>
    <row r="13" spans="1:18" x14ac:dyDescent="0.35">
      <c r="A13" s="11"/>
      <c r="B13" s="6"/>
      <c r="C13" s="6"/>
      <c r="D13" s="6"/>
      <c r="E13" s="6"/>
      <c r="F13" s="6"/>
      <c r="G13" s="6"/>
      <c r="H13" s="6"/>
      <c r="I13" s="6"/>
    </row>
    <row r="14" spans="1:18" x14ac:dyDescent="0.35">
      <c r="A14" s="11"/>
      <c r="B14" s="6"/>
      <c r="C14" s="6"/>
      <c r="D14" s="6"/>
      <c r="E14" s="6"/>
      <c r="F14" s="6"/>
      <c r="G14" s="6"/>
      <c r="H14" s="6"/>
      <c r="I14" s="6"/>
    </row>
    <row r="15" spans="1:18" x14ac:dyDescent="0.35">
      <c r="A15" s="11"/>
      <c r="B15" s="6"/>
      <c r="C15" s="6"/>
      <c r="D15" s="6"/>
      <c r="E15" s="6"/>
      <c r="F15" s="6"/>
      <c r="G15" s="6"/>
      <c r="H15" s="6"/>
      <c r="I15" s="6"/>
    </row>
    <row r="16" spans="1:18" x14ac:dyDescent="0.35">
      <c r="A16" s="11"/>
      <c r="B16" s="6"/>
      <c r="C16" s="6"/>
      <c r="D16" s="6"/>
      <c r="E16" s="6"/>
      <c r="F16" s="6"/>
      <c r="G16" s="6"/>
      <c r="H16" s="6"/>
      <c r="I16" s="6"/>
    </row>
    <row r="17" spans="1:9" x14ac:dyDescent="0.35">
      <c r="A17" s="11"/>
      <c r="B17" s="6"/>
      <c r="C17" s="6"/>
      <c r="D17" s="6"/>
      <c r="E17" s="6"/>
      <c r="F17" s="6"/>
      <c r="G17" s="6"/>
      <c r="H17" s="6"/>
      <c r="I17" s="6"/>
    </row>
    <row r="18" spans="1:9" x14ac:dyDescent="0.35">
      <c r="A18" s="10"/>
      <c r="B18" s="6"/>
      <c r="C18" s="6"/>
      <c r="D18" s="6"/>
      <c r="E18" s="6"/>
      <c r="F18" s="6"/>
      <c r="G18" s="6"/>
      <c r="H18" s="6"/>
      <c r="I18" s="6"/>
    </row>
    <row r="19" spans="1:9" x14ac:dyDescent="0.35">
      <c r="A19" s="10"/>
      <c r="B19" s="6"/>
      <c r="C19" s="6"/>
      <c r="D19" s="6"/>
      <c r="E19" s="6"/>
      <c r="F19" s="6"/>
      <c r="G19" s="6"/>
      <c r="H19" s="6"/>
      <c r="I19" s="6"/>
    </row>
    <row r="20" spans="1:9" x14ac:dyDescent="0.35">
      <c r="A20" s="10"/>
      <c r="B20" s="6"/>
      <c r="C20" s="6"/>
      <c r="D20" s="6"/>
      <c r="E20" s="6"/>
      <c r="F20" s="6"/>
      <c r="G20" s="6"/>
      <c r="H20" s="6"/>
      <c r="I20" s="6"/>
    </row>
    <row r="21" spans="1:9" x14ac:dyDescent="0.35">
      <c r="A21" s="10"/>
      <c r="B21" s="6"/>
      <c r="C21" s="6"/>
      <c r="D21" s="6"/>
      <c r="E21" s="6"/>
      <c r="F21" s="6"/>
      <c r="G21" s="6"/>
      <c r="H21" s="6"/>
      <c r="I21" s="6"/>
    </row>
    <row r="22" spans="1:9" x14ac:dyDescent="0.35">
      <c r="A22" s="10"/>
      <c r="B22" s="6"/>
      <c r="C22" s="6"/>
      <c r="D22" s="6"/>
      <c r="E22" s="6"/>
      <c r="F22" s="6"/>
      <c r="G22" s="6"/>
      <c r="H22" s="6"/>
      <c r="I22" s="6"/>
    </row>
    <row r="23" spans="1:9" x14ac:dyDescent="0.35">
      <c r="A23" s="10"/>
      <c r="B23" s="6"/>
      <c r="C23" s="6"/>
      <c r="D23" s="6"/>
      <c r="E23" s="6"/>
      <c r="F23" s="6"/>
      <c r="G23" s="6"/>
      <c r="H23" s="6"/>
      <c r="I23" s="6"/>
    </row>
    <row r="24" spans="1:9" x14ac:dyDescent="0.35">
      <c r="A24" s="10"/>
      <c r="B24" s="6"/>
      <c r="C24" s="6"/>
      <c r="D24" s="6"/>
      <c r="E24" s="6"/>
      <c r="F24" s="6"/>
      <c r="G24" s="6"/>
      <c r="H24" s="6"/>
      <c r="I24" s="6"/>
    </row>
    <row r="25" spans="1:9" x14ac:dyDescent="0.35">
      <c r="A25" s="10"/>
      <c r="B25" s="6"/>
      <c r="C25" s="6"/>
      <c r="D25" s="6"/>
      <c r="E25" s="6"/>
      <c r="F25" s="6"/>
      <c r="G25" s="6"/>
      <c r="H25" s="6"/>
      <c r="I25" s="6"/>
    </row>
    <row r="26" spans="1:9" x14ac:dyDescent="0.35">
      <c r="A26" s="10"/>
      <c r="B26" s="6"/>
      <c r="C26" s="6"/>
      <c r="D26" s="6"/>
      <c r="E26" s="6"/>
      <c r="F26" s="6"/>
      <c r="G26" s="6"/>
      <c r="H26" s="6"/>
      <c r="I26" s="6"/>
    </row>
    <row r="27" spans="1:9" x14ac:dyDescent="0.35">
      <c r="A27" s="10"/>
      <c r="B27" s="6"/>
      <c r="C27" s="6"/>
      <c r="D27" s="6"/>
      <c r="E27" s="6"/>
      <c r="F27" s="6"/>
      <c r="G27" s="6"/>
      <c r="H27" s="6"/>
      <c r="I27" s="6"/>
    </row>
    <row r="28" spans="1:9" x14ac:dyDescent="0.35">
      <c r="A28" s="10"/>
      <c r="B28" s="6"/>
      <c r="C28" s="6"/>
      <c r="D28" s="6"/>
      <c r="E28" s="6"/>
      <c r="F28" s="6"/>
      <c r="G28" s="6"/>
      <c r="H28" s="6"/>
      <c r="I28" s="6"/>
    </row>
    <row r="29" spans="1:9" x14ac:dyDescent="0.35">
      <c r="A29" s="10"/>
      <c r="B29" s="6"/>
      <c r="C29" s="6"/>
      <c r="D29" s="6"/>
      <c r="E29" s="6"/>
      <c r="F29" s="6"/>
      <c r="G29" s="6"/>
      <c r="H29" s="6"/>
      <c r="I29" s="6"/>
    </row>
    <row r="30" spans="1:9" x14ac:dyDescent="0.35">
      <c r="A30" s="10"/>
      <c r="B30" s="6"/>
      <c r="C30" s="6"/>
      <c r="D30" s="6"/>
      <c r="E30" s="6"/>
      <c r="F30" s="6"/>
      <c r="G30" s="6"/>
      <c r="H30" s="6"/>
      <c r="I30" s="6"/>
    </row>
    <row r="31" spans="1:9" x14ac:dyDescent="0.35">
      <c r="A31" s="10"/>
      <c r="B31" s="6"/>
      <c r="C31" s="6"/>
      <c r="D31" s="6"/>
      <c r="E31" s="6"/>
      <c r="F31" s="6"/>
      <c r="G31" s="6"/>
      <c r="H31" s="6"/>
      <c r="I31" s="6"/>
    </row>
    <row r="32" spans="1:9" x14ac:dyDescent="0.35">
      <c r="A32" s="10"/>
      <c r="B32" s="6"/>
      <c r="C32" s="6"/>
      <c r="D32" s="6"/>
      <c r="E32" s="6"/>
      <c r="F32" s="6"/>
      <c r="G32" s="6"/>
      <c r="H32" s="6"/>
      <c r="I32" s="6"/>
    </row>
    <row r="33" spans="1:9" x14ac:dyDescent="0.35">
      <c r="A33" s="10"/>
      <c r="B33" s="6"/>
      <c r="C33" s="6"/>
      <c r="D33" s="6"/>
      <c r="E33" s="6"/>
      <c r="F33" s="6"/>
      <c r="G33" s="6"/>
      <c r="H33" s="6"/>
      <c r="I33" s="6"/>
    </row>
    <row r="34" spans="1:9" x14ac:dyDescent="0.35">
      <c r="A34" s="10"/>
      <c r="B34" s="6"/>
      <c r="C34" s="6"/>
      <c r="D34" s="6"/>
      <c r="E34" s="6"/>
      <c r="F34" s="6"/>
      <c r="G34" s="6"/>
      <c r="H34" s="6"/>
      <c r="I34" s="6"/>
    </row>
    <row r="35" spans="1:9" x14ac:dyDescent="0.35">
      <c r="A35" s="10"/>
      <c r="B35" s="6"/>
      <c r="C35" s="6"/>
      <c r="D35" s="6"/>
      <c r="E35" s="6"/>
      <c r="F35" s="6"/>
      <c r="G35" s="6"/>
      <c r="H35" s="6"/>
      <c r="I35" s="6"/>
    </row>
    <row r="36" spans="1:9" x14ac:dyDescent="0.35">
      <c r="A36" s="10"/>
      <c r="B36" s="6"/>
      <c r="C36" s="6"/>
      <c r="D36" s="6"/>
      <c r="E36" s="6"/>
      <c r="F36" s="6"/>
      <c r="G36" s="6"/>
      <c r="H36" s="6"/>
      <c r="I36" s="6"/>
    </row>
    <row r="37" spans="1:9" x14ac:dyDescent="0.35">
      <c r="A37" s="10"/>
      <c r="B37" s="6"/>
      <c r="C37" s="6"/>
      <c r="D37" s="6"/>
      <c r="E37" s="6"/>
      <c r="F37" s="6"/>
      <c r="G37" s="6"/>
      <c r="H37" s="6"/>
      <c r="I37" s="6"/>
    </row>
    <row r="38" spans="1:9" x14ac:dyDescent="0.35">
      <c r="A38" s="10"/>
      <c r="B38" s="6"/>
      <c r="C38" s="6"/>
      <c r="D38" s="6"/>
      <c r="E38" s="6"/>
      <c r="F38" s="6"/>
      <c r="G38" s="6"/>
      <c r="H38" s="6"/>
      <c r="I38" s="6"/>
    </row>
    <row r="39" spans="1:9" x14ac:dyDescent="0.35">
      <c r="A39" s="10"/>
      <c r="B39" s="6"/>
      <c r="C39" s="6"/>
      <c r="D39" s="6"/>
      <c r="E39" s="6"/>
      <c r="F39" s="6"/>
      <c r="G39" s="6"/>
      <c r="H39" s="6"/>
      <c r="I39" s="6"/>
    </row>
    <row r="40" spans="1:9" x14ac:dyDescent="0.35">
      <c r="A40" s="10"/>
      <c r="B40" s="6"/>
      <c r="C40" s="6"/>
      <c r="D40" s="6"/>
      <c r="E40" s="6"/>
      <c r="F40" s="6"/>
      <c r="G40" s="6"/>
      <c r="H40" s="6"/>
      <c r="I40" s="6"/>
    </row>
    <row r="41" spans="1:9" x14ac:dyDescent="0.35">
      <c r="A41" s="10"/>
      <c r="B41" s="6"/>
      <c r="C41" s="6"/>
      <c r="D41" s="6"/>
      <c r="E41" s="6"/>
      <c r="F41" s="6"/>
      <c r="G41" s="6"/>
      <c r="H41" s="6"/>
      <c r="I41" s="6"/>
    </row>
    <row r="42" spans="1:9" x14ac:dyDescent="0.35">
      <c r="A42" s="10"/>
      <c r="B42" s="6"/>
      <c r="C42" s="6"/>
      <c r="D42" s="6"/>
      <c r="E42" s="6"/>
      <c r="F42" s="6"/>
      <c r="G42" s="6"/>
      <c r="H42" s="6"/>
      <c r="I42" s="6"/>
    </row>
    <row r="43" spans="1:9" x14ac:dyDescent="0.35">
      <c r="A43" s="10"/>
      <c r="B43" s="6"/>
      <c r="C43" s="6"/>
      <c r="D43" s="6"/>
      <c r="E43" s="6"/>
      <c r="F43" s="6"/>
      <c r="G43" s="6"/>
      <c r="H43" s="6"/>
      <c r="I43" s="6"/>
    </row>
    <row r="44" spans="1:9" x14ac:dyDescent="0.35">
      <c r="A44" s="10"/>
      <c r="B44" s="6"/>
      <c r="C44" s="6"/>
      <c r="D44" s="6"/>
      <c r="E44" s="6"/>
      <c r="F44" s="6"/>
      <c r="G44" s="6"/>
      <c r="H44" s="6"/>
      <c r="I44" s="6"/>
    </row>
    <row r="45" spans="1:9" x14ac:dyDescent="0.35">
      <c r="A45" s="10"/>
      <c r="B45" s="6"/>
      <c r="C45" s="6"/>
      <c r="D45" s="6"/>
      <c r="E45" s="6"/>
      <c r="F45" s="6"/>
      <c r="G45" s="6"/>
      <c r="H45" s="6"/>
      <c r="I45" s="6"/>
    </row>
    <row r="46" spans="1:9" x14ac:dyDescent="0.35">
      <c r="A46" s="10"/>
      <c r="B46" s="6"/>
      <c r="C46" s="6"/>
      <c r="D46" s="6"/>
      <c r="E46" s="6"/>
      <c r="F46" s="6"/>
      <c r="G46" s="6"/>
      <c r="H46" s="6"/>
      <c r="I46" s="6"/>
    </row>
    <row r="47" spans="1:9" x14ac:dyDescent="0.35">
      <c r="A47" s="10"/>
      <c r="B47" s="6"/>
      <c r="C47" s="6"/>
      <c r="D47" s="6"/>
      <c r="E47" s="6"/>
      <c r="F47" s="6"/>
      <c r="G47" s="6"/>
      <c r="H47" s="6"/>
      <c r="I47" s="6"/>
    </row>
    <row r="48" spans="1:9" x14ac:dyDescent="0.35">
      <c r="A48" s="10"/>
      <c r="B48" s="6"/>
      <c r="C48" s="6"/>
      <c r="D48" s="6"/>
      <c r="E48" s="6"/>
      <c r="F48" s="6"/>
      <c r="G48" s="6"/>
      <c r="H48" s="6"/>
      <c r="I48" s="6"/>
    </row>
    <row r="49" spans="1:9" x14ac:dyDescent="0.35">
      <c r="A49" s="10"/>
      <c r="B49" s="6"/>
      <c r="C49" s="6"/>
      <c r="D49" s="6"/>
      <c r="E49" s="6"/>
      <c r="F49" s="6"/>
      <c r="G49" s="6"/>
      <c r="H49" s="6"/>
      <c r="I49" s="6"/>
    </row>
    <row r="50" spans="1:9" x14ac:dyDescent="0.35">
      <c r="A50" s="10"/>
      <c r="B50" s="6"/>
      <c r="C50" s="6"/>
      <c r="D50" s="6"/>
      <c r="E50" s="6"/>
      <c r="F50" s="6"/>
      <c r="G50" s="6"/>
      <c r="H50" s="6"/>
      <c r="I50" s="6"/>
    </row>
    <row r="51" spans="1:9" x14ac:dyDescent="0.35">
      <c r="A51" s="10"/>
      <c r="B51" s="6"/>
      <c r="C51" s="6"/>
      <c r="D51" s="6"/>
      <c r="E51" s="6"/>
      <c r="F51" s="6"/>
      <c r="G51" s="6"/>
      <c r="H51" s="6"/>
      <c r="I51" s="6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1" r:id="rId4" name="ComplieReport">
          <controlPr defaultSize="0" autoLine="0" autoPict="0" r:id="rId5">
            <anchor moveWithCells="1">
              <from>
                <xdr:col>9</xdr:col>
                <xdr:colOff>419100</xdr:colOff>
                <xdr:row>3</xdr:row>
                <xdr:rowOff>133350</xdr:rowOff>
              </from>
              <to>
                <xdr:col>11</xdr:col>
                <xdr:colOff>450850</xdr:colOff>
                <xdr:row>7</xdr:row>
                <xdr:rowOff>44450</xdr:rowOff>
              </to>
            </anchor>
          </controlPr>
        </control>
      </mc:Choice>
      <mc:Fallback>
        <control shapeId="5121" r:id="rId4" name="Compli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21"/>
  <sheetViews>
    <sheetView showGridLines="0" zoomScale="83" zoomScaleNormal="130" workbookViewId="0">
      <selection activeCell="D12" sqref="D12:E17"/>
    </sheetView>
  </sheetViews>
  <sheetFormatPr defaultRowHeight="14.5" x14ac:dyDescent="0.35"/>
  <cols>
    <col min="1" max="1" width="34.81640625" bestFit="1" customWidth="1"/>
    <col min="2" max="2" width="9.7265625" bestFit="1" customWidth="1"/>
    <col min="3" max="3" width="19.08984375" bestFit="1" customWidth="1"/>
    <col min="4" max="4" width="7.26953125" bestFit="1" customWidth="1"/>
    <col min="5" max="5" width="6.54296875" bestFit="1" customWidth="1"/>
  </cols>
  <sheetData>
    <row r="1" spans="1:18" x14ac:dyDescent="0.35">
      <c r="A1" s="18" t="s">
        <v>33</v>
      </c>
      <c r="B1" s="23" t="s">
        <v>11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5"/>
    </row>
    <row r="2" spans="1:18" x14ac:dyDescent="0.35">
      <c r="A2" s="28" t="s">
        <v>34</v>
      </c>
      <c r="B2" s="23" t="s">
        <v>12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</row>
    <row r="3" spans="1:18" x14ac:dyDescent="0.35">
      <c r="A3" s="28" t="s">
        <v>35</v>
      </c>
      <c r="B3" s="23" t="s">
        <v>13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5"/>
    </row>
    <row r="4" spans="1:18" x14ac:dyDescent="0.35">
      <c r="A4" s="28" t="s">
        <v>36</v>
      </c>
      <c r="B4" s="23" t="s">
        <v>14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5"/>
    </row>
    <row r="5" spans="1:18" x14ac:dyDescent="0.35">
      <c r="A5" s="28" t="s">
        <v>37</v>
      </c>
      <c r="B5" s="26" t="s">
        <v>22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</row>
    <row r="11" spans="1:18" x14ac:dyDescent="0.35">
      <c r="A11" s="15"/>
      <c r="B11" s="3" t="s">
        <v>39</v>
      </c>
      <c r="C11" s="3" t="s">
        <v>1</v>
      </c>
      <c r="D11" s="3" t="s">
        <v>41</v>
      </c>
      <c r="E11" s="3" t="s">
        <v>40</v>
      </c>
    </row>
    <row r="12" spans="1:18" x14ac:dyDescent="0.35">
      <c r="A12" s="15"/>
      <c r="B12" s="19" t="s">
        <v>38</v>
      </c>
      <c r="C12" s="19" t="s">
        <v>38</v>
      </c>
      <c r="D12" s="20"/>
      <c r="E12" s="20"/>
    </row>
    <row r="13" spans="1:18" x14ac:dyDescent="0.35">
      <c r="A13" s="15"/>
      <c r="B13" s="19" t="str">
        <f>Input!B2</f>
        <v>Equity</v>
      </c>
      <c r="C13" s="19" t="str">
        <f>Input!C2</f>
        <v>APPL</v>
      </c>
      <c r="D13" s="20"/>
      <c r="E13" s="20"/>
    </row>
    <row r="14" spans="1:18" x14ac:dyDescent="0.35">
      <c r="A14" s="15"/>
      <c r="B14" s="19" t="str">
        <f>Input!B3</f>
        <v>Bond</v>
      </c>
      <c r="C14" s="19" t="str">
        <f>Input!C3</f>
        <v>APPL.BOND001.12M</v>
      </c>
      <c r="D14" s="20"/>
      <c r="E14" s="20"/>
    </row>
    <row r="15" spans="1:18" x14ac:dyDescent="0.35">
      <c r="A15" s="15"/>
      <c r="B15" s="19" t="str">
        <f>Input!B4</f>
        <v>Floater</v>
      </c>
      <c r="C15" s="19" t="str">
        <f>Input!C4</f>
        <v>APPL.FRN001.12M</v>
      </c>
      <c r="D15" s="20"/>
      <c r="E15" s="20"/>
    </row>
    <row r="16" spans="1:18" x14ac:dyDescent="0.35">
      <c r="A16" s="15"/>
      <c r="B16" s="19" t="str">
        <f>Input!B5</f>
        <v>Cash</v>
      </c>
      <c r="C16" s="19" t="str">
        <f>Input!C5</f>
        <v>USD</v>
      </c>
      <c r="D16" s="20"/>
      <c r="E16" s="20"/>
    </row>
    <row r="17" spans="2:5" x14ac:dyDescent="0.35">
      <c r="B17" s="19" t="str">
        <f>Input!B6</f>
        <v>Floater</v>
      </c>
      <c r="C17" s="19" t="str">
        <f>Input!C6</f>
        <v>APPL.FRN002.50M</v>
      </c>
      <c r="D17" s="20"/>
      <c r="E17" s="20"/>
    </row>
    <row r="18" spans="2:5" x14ac:dyDescent="0.35">
      <c r="B18" s="19"/>
      <c r="C18" s="20"/>
      <c r="D18" s="20"/>
      <c r="E18" s="20"/>
    </row>
    <row r="19" spans="2:5" x14ac:dyDescent="0.35">
      <c r="B19" s="19"/>
      <c r="C19" s="21"/>
      <c r="D19" s="20"/>
      <c r="E19" s="20"/>
    </row>
    <row r="20" spans="2:5" x14ac:dyDescent="0.35">
      <c r="B20" s="19"/>
      <c r="C20" s="21"/>
      <c r="D20" s="20"/>
      <c r="E20" s="20"/>
    </row>
    <row r="21" spans="2:5" x14ac:dyDescent="0.35">
      <c r="B21" s="19"/>
      <c r="C21" s="20"/>
      <c r="D21" s="20"/>
      <c r="E21" s="20"/>
    </row>
  </sheetData>
  <mergeCells count="5">
    <mergeCell ref="B2:R2"/>
    <mergeCell ref="B3:R3"/>
    <mergeCell ref="B4:R4"/>
    <mergeCell ref="B5:R5"/>
    <mergeCell ref="B1:R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701"/>
  <sheetViews>
    <sheetView showGridLines="0" zoomScale="64" zoomScaleNormal="130" workbookViewId="0">
      <selection activeCell="G17" sqref="G17"/>
    </sheetView>
  </sheetViews>
  <sheetFormatPr defaultRowHeight="14.5" x14ac:dyDescent="0.35"/>
  <cols>
    <col min="1" max="1" width="12.1796875" customWidth="1"/>
    <col min="2" max="2" width="11.1796875" bestFit="1" customWidth="1"/>
    <col min="3" max="3" width="17.1796875" customWidth="1"/>
    <col min="4" max="4" width="10.7265625" customWidth="1"/>
  </cols>
  <sheetData>
    <row r="1" spans="1:4" x14ac:dyDescent="0.35">
      <c r="A1" s="3" t="s">
        <v>9</v>
      </c>
      <c r="B1" s="3" t="s">
        <v>7</v>
      </c>
      <c r="C1" s="3" t="s">
        <v>3</v>
      </c>
      <c r="D1" s="3" t="s">
        <v>8</v>
      </c>
    </row>
    <row r="2" spans="1:4" x14ac:dyDescent="0.35">
      <c r="A2" s="11">
        <v>43097</v>
      </c>
      <c r="B2" s="9">
        <v>1</v>
      </c>
      <c r="C2" s="6" t="str">
        <f>INDEX(Instrument_Type, MATCH(B2,Position_ID,0),0)</f>
        <v>Equity</v>
      </c>
      <c r="D2" s="27"/>
    </row>
    <row r="3" spans="1:4" x14ac:dyDescent="0.35">
      <c r="A3" s="11">
        <v>43098</v>
      </c>
      <c r="B3" s="9">
        <v>1</v>
      </c>
      <c r="C3" s="6" t="str">
        <f>INDEX(Instrument_Type, MATCH(B3,Position_ID,0),0)</f>
        <v>Equity</v>
      </c>
      <c r="D3" s="27"/>
    </row>
    <row r="4" spans="1:4" x14ac:dyDescent="0.35">
      <c r="A4" s="11">
        <v>43101</v>
      </c>
      <c r="B4" s="9">
        <v>1</v>
      </c>
      <c r="C4" s="6" t="str">
        <f>INDEX(Instrument_Type, MATCH(B4,Position_ID,0),0)</f>
        <v>Equity</v>
      </c>
      <c r="D4" s="27"/>
    </row>
    <row r="5" spans="1:4" x14ac:dyDescent="0.35">
      <c r="A5" s="11">
        <v>43102</v>
      </c>
      <c r="B5" s="9">
        <v>1</v>
      </c>
      <c r="C5" s="6" t="str">
        <f>INDEX(Instrument_Type, MATCH(B5,Position_ID,0),0)</f>
        <v>Equity</v>
      </c>
      <c r="D5" s="27"/>
    </row>
    <row r="6" spans="1:4" x14ac:dyDescent="0.35">
      <c r="A6" s="11">
        <v>43103</v>
      </c>
      <c r="B6" s="9">
        <v>1</v>
      </c>
      <c r="C6" s="6" t="str">
        <f>INDEX(Instrument_Type, MATCH(B6,Position_ID,0),0)</f>
        <v>Equity</v>
      </c>
      <c r="D6" s="27"/>
    </row>
    <row r="7" spans="1:4" x14ac:dyDescent="0.35">
      <c r="A7" s="11">
        <v>43104</v>
      </c>
      <c r="B7" s="9">
        <v>1</v>
      </c>
      <c r="C7" s="6" t="str">
        <f>INDEX(Instrument_Type, MATCH(B7,Position_ID,0),0)</f>
        <v>Equity</v>
      </c>
      <c r="D7" s="27"/>
    </row>
    <row r="8" spans="1:4" x14ac:dyDescent="0.35">
      <c r="A8" s="11">
        <v>43105</v>
      </c>
      <c r="B8" s="9">
        <v>1</v>
      </c>
      <c r="C8" s="6" t="str">
        <f>INDEX(Instrument_Type, MATCH(B8,Position_ID,0),0)</f>
        <v>Equity</v>
      </c>
      <c r="D8" s="27"/>
    </row>
    <row r="9" spans="1:4" x14ac:dyDescent="0.35">
      <c r="A9" s="11">
        <v>43108</v>
      </c>
      <c r="B9" s="9">
        <v>1</v>
      </c>
      <c r="C9" s="6" t="str">
        <f>INDEX(Instrument_Type, MATCH(B9,Position_ID,0),0)</f>
        <v>Equity</v>
      </c>
      <c r="D9" s="27"/>
    </row>
    <row r="10" spans="1:4" x14ac:dyDescent="0.35">
      <c r="A10" s="11">
        <v>43109</v>
      </c>
      <c r="B10" s="9">
        <v>1</v>
      </c>
      <c r="C10" s="6" t="str">
        <f>INDEX(Instrument_Type, MATCH(B10,Position_ID,0),0)</f>
        <v>Equity</v>
      </c>
      <c r="D10" s="27"/>
    </row>
    <row r="11" spans="1:4" x14ac:dyDescent="0.35">
      <c r="A11" s="11">
        <v>43110</v>
      </c>
      <c r="B11" s="9">
        <v>1</v>
      </c>
      <c r="C11" s="6" t="str">
        <f>INDEX(Instrument_Type, MATCH(B11,Position_ID,0),0)</f>
        <v>Equity</v>
      </c>
      <c r="D11" s="27"/>
    </row>
    <row r="12" spans="1:4" x14ac:dyDescent="0.35">
      <c r="A12" s="11">
        <v>43111</v>
      </c>
      <c r="B12" s="9">
        <v>1</v>
      </c>
      <c r="C12" s="6" t="str">
        <f>INDEX(Instrument_Type, MATCH(B12,Position_ID,0),0)</f>
        <v>Equity</v>
      </c>
      <c r="D12" s="27"/>
    </row>
    <row r="13" spans="1:4" x14ac:dyDescent="0.35">
      <c r="A13" s="11">
        <v>43112</v>
      </c>
      <c r="B13" s="9">
        <v>1</v>
      </c>
      <c r="C13" s="6" t="str">
        <f>INDEX(Instrument_Type, MATCH(B13,Position_ID,0),0)</f>
        <v>Equity</v>
      </c>
      <c r="D13" s="27"/>
    </row>
    <row r="14" spans="1:4" x14ac:dyDescent="0.35">
      <c r="A14" s="11">
        <v>43115</v>
      </c>
      <c r="B14" s="9">
        <v>1</v>
      </c>
      <c r="C14" s="6" t="str">
        <f>INDEX(Instrument_Type, MATCH(B14,Position_ID,0),0)</f>
        <v>Equity</v>
      </c>
      <c r="D14" s="27"/>
    </row>
    <row r="15" spans="1:4" x14ac:dyDescent="0.35">
      <c r="A15" s="11">
        <v>43116</v>
      </c>
      <c r="B15" s="9">
        <v>1</v>
      </c>
      <c r="C15" s="6" t="str">
        <f>INDEX(Instrument_Type, MATCH(B15,Position_ID,0),0)</f>
        <v>Equity</v>
      </c>
      <c r="D15" s="27"/>
    </row>
    <row r="16" spans="1:4" x14ac:dyDescent="0.35">
      <c r="A16" s="11">
        <v>43117</v>
      </c>
      <c r="B16" s="9">
        <v>1</v>
      </c>
      <c r="C16" s="6" t="str">
        <f>INDEX(Instrument_Type, MATCH(B16,Position_ID,0),0)</f>
        <v>Equity</v>
      </c>
      <c r="D16" s="27"/>
    </row>
    <row r="17" spans="1:4" x14ac:dyDescent="0.35">
      <c r="A17" s="11">
        <v>43118</v>
      </c>
      <c r="B17" s="9">
        <v>1</v>
      </c>
      <c r="C17" s="6" t="str">
        <f>INDEX(Instrument_Type, MATCH(B17,Position_ID,0),0)</f>
        <v>Equity</v>
      </c>
      <c r="D17" s="27"/>
    </row>
    <row r="18" spans="1:4" x14ac:dyDescent="0.35">
      <c r="A18" s="11">
        <v>43119</v>
      </c>
      <c r="B18" s="9">
        <v>1</v>
      </c>
      <c r="C18" s="6" t="str">
        <f>INDEX(Instrument_Type, MATCH(B18,Position_ID,0),0)</f>
        <v>Equity</v>
      </c>
      <c r="D18" s="27"/>
    </row>
    <row r="19" spans="1:4" x14ac:dyDescent="0.35">
      <c r="A19" s="11">
        <v>43122</v>
      </c>
      <c r="B19" s="9">
        <v>1</v>
      </c>
      <c r="C19" s="6" t="str">
        <f>INDEX(Instrument_Type, MATCH(B19,Position_ID,0),0)</f>
        <v>Equity</v>
      </c>
      <c r="D19" s="27"/>
    </row>
    <row r="20" spans="1:4" x14ac:dyDescent="0.35">
      <c r="A20" s="11">
        <v>43123</v>
      </c>
      <c r="B20" s="9">
        <v>1</v>
      </c>
      <c r="C20" s="6" t="str">
        <f>INDEX(Instrument_Type, MATCH(B20,Position_ID,0),0)</f>
        <v>Equity</v>
      </c>
      <c r="D20" s="27"/>
    </row>
    <row r="21" spans="1:4" x14ac:dyDescent="0.35">
      <c r="A21" s="11">
        <v>43124</v>
      </c>
      <c r="B21" s="9">
        <v>1</v>
      </c>
      <c r="C21" s="6" t="str">
        <f>INDEX(Instrument_Type, MATCH(B21,Position_ID,0),0)</f>
        <v>Equity</v>
      </c>
      <c r="D21" s="27"/>
    </row>
    <row r="22" spans="1:4" x14ac:dyDescent="0.35">
      <c r="A22" s="11">
        <v>43125</v>
      </c>
      <c r="B22" s="9">
        <v>1</v>
      </c>
      <c r="C22" s="6" t="str">
        <f>INDEX(Instrument_Type, MATCH(B22,Position_ID,0),0)</f>
        <v>Equity</v>
      </c>
      <c r="D22" s="27"/>
    </row>
    <row r="23" spans="1:4" x14ac:dyDescent="0.35">
      <c r="A23" s="11">
        <v>43126</v>
      </c>
      <c r="B23" s="9">
        <v>1</v>
      </c>
      <c r="C23" s="6" t="str">
        <f>INDEX(Instrument_Type, MATCH(B23,Position_ID,0),0)</f>
        <v>Equity</v>
      </c>
      <c r="D23" s="27"/>
    </row>
    <row r="24" spans="1:4" x14ac:dyDescent="0.35">
      <c r="A24" s="11">
        <v>43129</v>
      </c>
      <c r="B24" s="9">
        <v>1</v>
      </c>
      <c r="C24" s="6" t="str">
        <f>INDEX(Instrument_Type, MATCH(B24,Position_ID,0),0)</f>
        <v>Equity</v>
      </c>
      <c r="D24" s="27"/>
    </row>
    <row r="25" spans="1:4" x14ac:dyDescent="0.35">
      <c r="A25" s="11">
        <v>43130</v>
      </c>
      <c r="B25" s="9">
        <v>1</v>
      </c>
      <c r="C25" s="6" t="str">
        <f>INDEX(Instrument_Type, MATCH(B25,Position_ID,0),0)</f>
        <v>Equity</v>
      </c>
      <c r="D25" s="27"/>
    </row>
    <row r="26" spans="1:4" x14ac:dyDescent="0.35">
      <c r="A26" s="11">
        <v>43131</v>
      </c>
      <c r="B26" s="9">
        <v>1</v>
      </c>
      <c r="C26" s="6" t="str">
        <f>INDEX(Instrument_Type, MATCH(B26,Position_ID,0),0)</f>
        <v>Equity</v>
      </c>
      <c r="D26" s="27"/>
    </row>
    <row r="27" spans="1:4" x14ac:dyDescent="0.35">
      <c r="A27" s="11">
        <v>43132</v>
      </c>
      <c r="B27" s="9">
        <v>1</v>
      </c>
      <c r="C27" s="6" t="str">
        <f>INDEX(Instrument_Type, MATCH(B27,Position_ID,0),0)</f>
        <v>Equity</v>
      </c>
      <c r="D27" s="27"/>
    </row>
    <row r="28" spans="1:4" x14ac:dyDescent="0.35">
      <c r="A28" s="11">
        <v>43133</v>
      </c>
      <c r="B28" s="9">
        <v>1</v>
      </c>
      <c r="C28" s="6" t="str">
        <f>INDEX(Instrument_Type, MATCH(B28,Position_ID,0),0)</f>
        <v>Equity</v>
      </c>
      <c r="D28" s="27"/>
    </row>
    <row r="29" spans="1:4" x14ac:dyDescent="0.35">
      <c r="A29" s="11">
        <v>43136</v>
      </c>
      <c r="B29" s="9">
        <v>1</v>
      </c>
      <c r="C29" s="6" t="str">
        <f>INDEX(Instrument_Type, MATCH(B29,Position_ID,0),0)</f>
        <v>Equity</v>
      </c>
      <c r="D29" s="27"/>
    </row>
    <row r="30" spans="1:4" x14ac:dyDescent="0.35">
      <c r="A30" s="11">
        <v>43137</v>
      </c>
      <c r="B30" s="9">
        <v>1</v>
      </c>
      <c r="C30" s="6" t="str">
        <f>INDEX(Instrument_Type, MATCH(B30,Position_ID,0),0)</f>
        <v>Equity</v>
      </c>
      <c r="D30" s="27"/>
    </row>
    <row r="31" spans="1:4" x14ac:dyDescent="0.35">
      <c r="A31" s="11">
        <v>43138</v>
      </c>
      <c r="B31" s="9">
        <v>1</v>
      </c>
      <c r="C31" s="6" t="str">
        <f>INDEX(Instrument_Type, MATCH(B31,Position_ID,0),0)</f>
        <v>Equity</v>
      </c>
      <c r="D31" s="27"/>
    </row>
    <row r="32" spans="1:4" x14ac:dyDescent="0.35">
      <c r="A32" s="11">
        <v>43139</v>
      </c>
      <c r="B32" s="9">
        <v>1</v>
      </c>
      <c r="C32" s="6" t="str">
        <f>INDEX(Instrument_Type, MATCH(B32,Position_ID,0),0)</f>
        <v>Equity</v>
      </c>
      <c r="D32" s="27"/>
    </row>
    <row r="33" spans="1:4" x14ac:dyDescent="0.35">
      <c r="A33" s="11">
        <v>43140</v>
      </c>
      <c r="B33" s="9">
        <v>1</v>
      </c>
      <c r="C33" s="6" t="str">
        <f>INDEX(Instrument_Type, MATCH(B33,Position_ID,0),0)</f>
        <v>Equity</v>
      </c>
      <c r="D33" s="27"/>
    </row>
    <row r="34" spans="1:4" x14ac:dyDescent="0.35">
      <c r="A34" s="11">
        <v>43143</v>
      </c>
      <c r="B34" s="9">
        <v>1</v>
      </c>
      <c r="C34" s="6" t="str">
        <f>INDEX(Instrument_Type, MATCH(B34,Position_ID,0),0)</f>
        <v>Equity</v>
      </c>
      <c r="D34" s="27"/>
    </row>
    <row r="35" spans="1:4" x14ac:dyDescent="0.35">
      <c r="A35" s="11">
        <v>43144</v>
      </c>
      <c r="B35" s="9">
        <v>1</v>
      </c>
      <c r="C35" s="6" t="str">
        <f>INDEX(Instrument_Type, MATCH(B35,Position_ID,0),0)</f>
        <v>Equity</v>
      </c>
      <c r="D35" s="27"/>
    </row>
    <row r="36" spans="1:4" x14ac:dyDescent="0.35">
      <c r="A36" s="11">
        <v>43145</v>
      </c>
      <c r="B36" s="9">
        <v>1</v>
      </c>
      <c r="C36" s="6" t="str">
        <f>INDEX(Instrument_Type, MATCH(B36,Position_ID,0),0)</f>
        <v>Equity</v>
      </c>
      <c r="D36" s="27"/>
    </row>
    <row r="37" spans="1:4" x14ac:dyDescent="0.35">
      <c r="A37" s="11">
        <v>43146</v>
      </c>
      <c r="B37" s="9">
        <v>1</v>
      </c>
      <c r="C37" s="6" t="str">
        <f>INDEX(Instrument_Type, MATCH(B37,Position_ID,0),0)</f>
        <v>Equity</v>
      </c>
      <c r="D37" s="27"/>
    </row>
    <row r="38" spans="1:4" x14ac:dyDescent="0.35">
      <c r="A38" s="11">
        <v>43147</v>
      </c>
      <c r="B38" s="9">
        <v>1</v>
      </c>
      <c r="C38" s="6" t="str">
        <f>INDEX(Instrument_Type, MATCH(B38,Position_ID,0),0)</f>
        <v>Equity</v>
      </c>
      <c r="D38" s="27"/>
    </row>
    <row r="39" spans="1:4" x14ac:dyDescent="0.35">
      <c r="A39" s="11">
        <v>43150</v>
      </c>
      <c r="B39" s="9">
        <v>1</v>
      </c>
      <c r="C39" s="6" t="str">
        <f>INDEX(Instrument_Type, MATCH(B39,Position_ID,0),0)</f>
        <v>Equity</v>
      </c>
      <c r="D39" s="27"/>
    </row>
    <row r="40" spans="1:4" x14ac:dyDescent="0.35">
      <c r="A40" s="11">
        <v>43151</v>
      </c>
      <c r="B40" s="9">
        <v>1</v>
      </c>
      <c r="C40" s="6" t="str">
        <f>INDEX(Instrument_Type, MATCH(B40,Position_ID,0),0)</f>
        <v>Equity</v>
      </c>
      <c r="D40" s="27"/>
    </row>
    <row r="41" spans="1:4" x14ac:dyDescent="0.35">
      <c r="A41" s="11">
        <v>43152</v>
      </c>
      <c r="B41" s="9">
        <v>1</v>
      </c>
      <c r="C41" s="6" t="str">
        <f>INDEX(Instrument_Type, MATCH(B41,Position_ID,0),0)</f>
        <v>Equity</v>
      </c>
      <c r="D41" s="27"/>
    </row>
    <row r="42" spans="1:4" x14ac:dyDescent="0.35">
      <c r="A42" s="11">
        <v>43153</v>
      </c>
      <c r="B42" s="9">
        <v>1</v>
      </c>
      <c r="C42" s="6" t="str">
        <f>INDEX(Instrument_Type, MATCH(B42,Position_ID,0),0)</f>
        <v>Equity</v>
      </c>
      <c r="D42" s="27"/>
    </row>
    <row r="43" spans="1:4" x14ac:dyDescent="0.35">
      <c r="A43" s="11">
        <v>43154</v>
      </c>
      <c r="B43" s="9">
        <v>1</v>
      </c>
      <c r="C43" s="6" t="str">
        <f>INDEX(Instrument_Type, MATCH(B43,Position_ID,0),0)</f>
        <v>Equity</v>
      </c>
      <c r="D43" s="27"/>
    </row>
    <row r="44" spans="1:4" x14ac:dyDescent="0.35">
      <c r="A44" s="11">
        <v>43157</v>
      </c>
      <c r="B44" s="9">
        <v>1</v>
      </c>
      <c r="C44" s="6" t="str">
        <f>INDEX(Instrument_Type, MATCH(B44,Position_ID,0),0)</f>
        <v>Equity</v>
      </c>
      <c r="D44" s="27"/>
    </row>
    <row r="45" spans="1:4" x14ac:dyDescent="0.35">
      <c r="A45" s="11">
        <v>43158</v>
      </c>
      <c r="B45" s="9">
        <v>1</v>
      </c>
      <c r="C45" s="6" t="str">
        <f>INDEX(Instrument_Type, MATCH(B45,Position_ID,0),0)</f>
        <v>Equity</v>
      </c>
      <c r="D45" s="27"/>
    </row>
    <row r="46" spans="1:4" x14ac:dyDescent="0.35">
      <c r="A46" s="11">
        <v>43159</v>
      </c>
      <c r="B46" s="9">
        <v>1</v>
      </c>
      <c r="C46" s="6" t="str">
        <f>INDEX(Instrument_Type, MATCH(B46,Position_ID,0),0)</f>
        <v>Equity</v>
      </c>
      <c r="D46" s="27"/>
    </row>
    <row r="47" spans="1:4" x14ac:dyDescent="0.35">
      <c r="A47" s="11">
        <v>43160</v>
      </c>
      <c r="B47" s="9">
        <v>1</v>
      </c>
      <c r="C47" s="6" t="str">
        <f>INDEX(Instrument_Type, MATCH(B47,Position_ID,0),0)</f>
        <v>Equity</v>
      </c>
      <c r="D47" s="27"/>
    </row>
    <row r="48" spans="1:4" x14ac:dyDescent="0.35">
      <c r="A48" s="11">
        <v>43161</v>
      </c>
      <c r="B48" s="9">
        <v>1</v>
      </c>
      <c r="C48" s="6" t="str">
        <f>INDEX(Instrument_Type, MATCH(B48,Position_ID,0),0)</f>
        <v>Equity</v>
      </c>
      <c r="D48" s="27"/>
    </row>
    <row r="49" spans="1:4" x14ac:dyDescent="0.35">
      <c r="A49" s="11">
        <v>43164</v>
      </c>
      <c r="B49" s="9">
        <v>1</v>
      </c>
      <c r="C49" s="6" t="str">
        <f>INDEX(Instrument_Type, MATCH(B49,Position_ID,0),0)</f>
        <v>Equity</v>
      </c>
      <c r="D49" s="27"/>
    </row>
    <row r="50" spans="1:4" x14ac:dyDescent="0.35">
      <c r="A50" s="11">
        <v>43165</v>
      </c>
      <c r="B50" s="9">
        <v>1</v>
      </c>
      <c r="C50" s="6" t="str">
        <f>INDEX(Instrument_Type, MATCH(B50,Position_ID,0),0)</f>
        <v>Equity</v>
      </c>
      <c r="D50" s="27"/>
    </row>
    <row r="51" spans="1:4" x14ac:dyDescent="0.35">
      <c r="A51" s="11">
        <v>43166</v>
      </c>
      <c r="B51" s="9">
        <v>1</v>
      </c>
      <c r="C51" s="6" t="str">
        <f>INDEX(Instrument_Type, MATCH(B51,Position_ID,0),0)</f>
        <v>Equity</v>
      </c>
      <c r="D51" s="27"/>
    </row>
    <row r="52" spans="1:4" x14ac:dyDescent="0.35">
      <c r="A52" s="11">
        <v>43167</v>
      </c>
      <c r="B52" s="9">
        <v>1</v>
      </c>
      <c r="C52" s="6" t="str">
        <f>INDEX(Instrument_Type, MATCH(B52,Position_ID,0),0)</f>
        <v>Equity</v>
      </c>
      <c r="D52" s="27"/>
    </row>
    <row r="53" spans="1:4" x14ac:dyDescent="0.35">
      <c r="A53" s="11">
        <v>43168</v>
      </c>
      <c r="B53" s="9">
        <v>1</v>
      </c>
      <c r="C53" s="6" t="str">
        <f>INDEX(Instrument_Type, MATCH(B53,Position_ID,0),0)</f>
        <v>Equity</v>
      </c>
      <c r="D53" s="27"/>
    </row>
    <row r="54" spans="1:4" x14ac:dyDescent="0.35">
      <c r="A54" s="11">
        <v>43171</v>
      </c>
      <c r="B54" s="9">
        <v>1</v>
      </c>
      <c r="C54" s="6" t="str">
        <f>INDEX(Instrument_Type, MATCH(B54,Position_ID,0),0)</f>
        <v>Equity</v>
      </c>
      <c r="D54" s="27"/>
    </row>
    <row r="55" spans="1:4" x14ac:dyDescent="0.35">
      <c r="A55" s="11">
        <v>43172</v>
      </c>
      <c r="B55" s="9">
        <v>1</v>
      </c>
      <c r="C55" s="6" t="str">
        <f>INDEX(Instrument_Type, MATCH(B55,Position_ID,0),0)</f>
        <v>Equity</v>
      </c>
      <c r="D55" s="27"/>
    </row>
    <row r="56" spans="1:4" x14ac:dyDescent="0.35">
      <c r="A56" s="11">
        <v>43173</v>
      </c>
      <c r="B56" s="9">
        <v>1</v>
      </c>
      <c r="C56" s="6" t="str">
        <f>INDEX(Instrument_Type, MATCH(B56,Position_ID,0),0)</f>
        <v>Equity</v>
      </c>
      <c r="D56" s="27"/>
    </row>
    <row r="57" spans="1:4" x14ac:dyDescent="0.35">
      <c r="A57" s="11">
        <v>43174</v>
      </c>
      <c r="B57" s="9">
        <v>1</v>
      </c>
      <c r="C57" s="6" t="str">
        <f>INDEX(Instrument_Type, MATCH(B57,Position_ID,0),0)</f>
        <v>Equity</v>
      </c>
      <c r="D57" s="27"/>
    </row>
    <row r="58" spans="1:4" x14ac:dyDescent="0.35">
      <c r="A58" s="11">
        <v>43175</v>
      </c>
      <c r="B58" s="9">
        <v>1</v>
      </c>
      <c r="C58" s="6" t="str">
        <f>INDEX(Instrument_Type, MATCH(B58,Position_ID,0),0)</f>
        <v>Equity</v>
      </c>
      <c r="D58" s="27"/>
    </row>
    <row r="59" spans="1:4" x14ac:dyDescent="0.35">
      <c r="A59" s="11">
        <v>43178</v>
      </c>
      <c r="B59" s="9">
        <v>1</v>
      </c>
      <c r="C59" s="6" t="str">
        <f>INDEX(Instrument_Type, MATCH(B59,Position_ID,0),0)</f>
        <v>Equity</v>
      </c>
      <c r="D59" s="27"/>
    </row>
    <row r="60" spans="1:4" x14ac:dyDescent="0.35">
      <c r="A60" s="11">
        <v>43179</v>
      </c>
      <c r="B60" s="9">
        <v>1</v>
      </c>
      <c r="C60" s="6" t="str">
        <f>INDEX(Instrument_Type, MATCH(B60,Position_ID,0),0)</f>
        <v>Equity</v>
      </c>
      <c r="D60" s="27"/>
    </row>
    <row r="61" spans="1:4" x14ac:dyDescent="0.35">
      <c r="A61" s="11">
        <v>43180</v>
      </c>
      <c r="B61" s="9">
        <v>1</v>
      </c>
      <c r="C61" s="6" t="str">
        <f>INDEX(Instrument_Type, MATCH(B61,Position_ID,0),0)</f>
        <v>Equity</v>
      </c>
      <c r="D61" s="27"/>
    </row>
    <row r="62" spans="1:4" x14ac:dyDescent="0.35">
      <c r="A62" s="11">
        <v>43181</v>
      </c>
      <c r="B62" s="9">
        <v>1</v>
      </c>
      <c r="C62" s="6" t="str">
        <f>INDEX(Instrument_Type, MATCH(B62,Position_ID,0),0)</f>
        <v>Equity</v>
      </c>
      <c r="D62" s="27"/>
    </row>
    <row r="63" spans="1:4" x14ac:dyDescent="0.35">
      <c r="A63" s="11">
        <v>43182</v>
      </c>
      <c r="B63" s="9">
        <v>1</v>
      </c>
      <c r="C63" s="6" t="str">
        <f>INDEX(Instrument_Type, MATCH(B63,Position_ID,0),0)</f>
        <v>Equity</v>
      </c>
      <c r="D63" s="27"/>
    </row>
    <row r="64" spans="1:4" x14ac:dyDescent="0.35">
      <c r="A64" s="11">
        <v>43185</v>
      </c>
      <c r="B64" s="9">
        <v>1</v>
      </c>
      <c r="C64" s="6" t="str">
        <f>INDEX(Instrument_Type, MATCH(B64,Position_ID,0),0)</f>
        <v>Equity</v>
      </c>
      <c r="D64" s="27"/>
    </row>
    <row r="65" spans="1:4" x14ac:dyDescent="0.35">
      <c r="A65" s="11">
        <v>43186</v>
      </c>
      <c r="B65" s="9">
        <v>1</v>
      </c>
      <c r="C65" s="6" t="str">
        <f>INDEX(Instrument_Type, MATCH(B65,Position_ID,0),0)</f>
        <v>Equity</v>
      </c>
      <c r="D65" s="27"/>
    </row>
    <row r="66" spans="1:4" x14ac:dyDescent="0.35">
      <c r="A66" s="11">
        <v>43187</v>
      </c>
      <c r="B66" s="9">
        <v>1</v>
      </c>
      <c r="C66" s="6" t="str">
        <f>INDEX(Instrument_Type, MATCH(B66,Position_ID,0),0)</f>
        <v>Equity</v>
      </c>
      <c r="D66" s="27"/>
    </row>
    <row r="67" spans="1:4" x14ac:dyDescent="0.35">
      <c r="A67" s="11">
        <v>43188</v>
      </c>
      <c r="B67" s="9">
        <v>1</v>
      </c>
      <c r="C67" s="6" t="str">
        <f>INDEX(Instrument_Type, MATCH(B67,Position_ID,0),0)</f>
        <v>Equity</v>
      </c>
      <c r="D67" s="27"/>
    </row>
    <row r="68" spans="1:4" x14ac:dyDescent="0.35">
      <c r="A68" s="11">
        <v>43189</v>
      </c>
      <c r="B68" s="9">
        <v>1</v>
      </c>
      <c r="C68" s="6" t="str">
        <f>INDEX(Instrument_Type, MATCH(B68,Position_ID,0),0)</f>
        <v>Equity</v>
      </c>
      <c r="D68" s="27"/>
    </row>
    <row r="69" spans="1:4" x14ac:dyDescent="0.35">
      <c r="A69" s="11">
        <v>43192</v>
      </c>
      <c r="B69" s="9">
        <v>1</v>
      </c>
      <c r="C69" s="6" t="str">
        <f>INDEX(Instrument_Type, MATCH(B69,Position_ID,0),0)</f>
        <v>Equity</v>
      </c>
      <c r="D69" s="27"/>
    </row>
    <row r="70" spans="1:4" x14ac:dyDescent="0.35">
      <c r="A70" s="11">
        <v>43193</v>
      </c>
      <c r="B70" s="9">
        <v>1</v>
      </c>
      <c r="C70" s="6" t="str">
        <f>INDEX(Instrument_Type, MATCH(B70,Position_ID,0),0)</f>
        <v>Equity</v>
      </c>
      <c r="D70" s="27"/>
    </row>
    <row r="71" spans="1:4" x14ac:dyDescent="0.35">
      <c r="A71" s="11">
        <v>43194</v>
      </c>
      <c r="B71" s="9">
        <v>1</v>
      </c>
      <c r="C71" s="6" t="str">
        <f>INDEX(Instrument_Type, MATCH(B71,Position_ID,0),0)</f>
        <v>Equity</v>
      </c>
      <c r="D71" s="27"/>
    </row>
    <row r="72" spans="1:4" x14ac:dyDescent="0.35">
      <c r="A72" s="11">
        <v>43195</v>
      </c>
      <c r="B72" s="9">
        <v>1</v>
      </c>
      <c r="C72" s="6" t="str">
        <f>INDEX(Instrument_Type, MATCH(B72,Position_ID,0),0)</f>
        <v>Equity</v>
      </c>
      <c r="D72" s="27"/>
    </row>
    <row r="73" spans="1:4" x14ac:dyDescent="0.35">
      <c r="A73" s="11">
        <v>43196</v>
      </c>
      <c r="B73" s="9">
        <v>1</v>
      </c>
      <c r="C73" s="6" t="str">
        <f>INDEX(Instrument_Type, MATCH(B73,Position_ID,0),0)</f>
        <v>Equity</v>
      </c>
      <c r="D73" s="27"/>
    </row>
    <row r="74" spans="1:4" x14ac:dyDescent="0.35">
      <c r="A74" s="11">
        <v>43199</v>
      </c>
      <c r="B74" s="9">
        <v>1</v>
      </c>
      <c r="C74" s="6" t="str">
        <f>INDEX(Instrument_Type, MATCH(B74,Position_ID,0),0)</f>
        <v>Equity</v>
      </c>
      <c r="D74" s="27"/>
    </row>
    <row r="75" spans="1:4" x14ac:dyDescent="0.35">
      <c r="A75" s="11">
        <v>43200</v>
      </c>
      <c r="B75" s="9">
        <v>1</v>
      </c>
      <c r="C75" s="6" t="str">
        <f>INDEX(Instrument_Type, MATCH(B75,Position_ID,0),0)</f>
        <v>Equity</v>
      </c>
      <c r="D75" s="27"/>
    </row>
    <row r="76" spans="1:4" x14ac:dyDescent="0.35">
      <c r="A76" s="11">
        <v>43201</v>
      </c>
      <c r="B76" s="9">
        <v>1</v>
      </c>
      <c r="C76" s="6" t="str">
        <f>INDEX(Instrument_Type, MATCH(B76,Position_ID,0),0)</f>
        <v>Equity</v>
      </c>
      <c r="D76" s="27"/>
    </row>
    <row r="77" spans="1:4" x14ac:dyDescent="0.35">
      <c r="A77" s="11">
        <v>43202</v>
      </c>
      <c r="B77" s="9">
        <v>1</v>
      </c>
      <c r="C77" s="6" t="str">
        <f>INDEX(Instrument_Type, MATCH(B77,Position_ID,0),0)</f>
        <v>Equity</v>
      </c>
      <c r="D77" s="27"/>
    </row>
    <row r="78" spans="1:4" x14ac:dyDescent="0.35">
      <c r="A78" s="11">
        <v>43203</v>
      </c>
      <c r="B78" s="9">
        <v>1</v>
      </c>
      <c r="C78" s="6" t="str">
        <f>INDEX(Instrument_Type, MATCH(B78,Position_ID,0),0)</f>
        <v>Equity</v>
      </c>
      <c r="D78" s="27"/>
    </row>
    <row r="79" spans="1:4" x14ac:dyDescent="0.35">
      <c r="A79" s="11">
        <v>43206</v>
      </c>
      <c r="B79" s="9">
        <v>1</v>
      </c>
      <c r="C79" s="6" t="str">
        <f>INDEX(Instrument_Type, MATCH(B79,Position_ID,0),0)</f>
        <v>Equity</v>
      </c>
      <c r="D79" s="27"/>
    </row>
    <row r="80" spans="1:4" x14ac:dyDescent="0.35">
      <c r="A80" s="11">
        <v>43207</v>
      </c>
      <c r="B80" s="9">
        <v>1</v>
      </c>
      <c r="C80" s="6" t="str">
        <f>INDEX(Instrument_Type, MATCH(B80,Position_ID,0),0)</f>
        <v>Equity</v>
      </c>
      <c r="D80" s="27"/>
    </row>
    <row r="81" spans="1:4" x14ac:dyDescent="0.35">
      <c r="A81" s="11">
        <v>43208</v>
      </c>
      <c r="B81" s="9">
        <v>1</v>
      </c>
      <c r="C81" s="6" t="str">
        <f>INDEX(Instrument_Type, MATCH(B81,Position_ID,0),0)</f>
        <v>Equity</v>
      </c>
      <c r="D81" s="27"/>
    </row>
    <row r="82" spans="1:4" x14ac:dyDescent="0.35">
      <c r="A82" s="11">
        <v>43209</v>
      </c>
      <c r="B82" s="9">
        <v>1</v>
      </c>
      <c r="C82" s="6" t="str">
        <f>INDEX(Instrument_Type, MATCH(B82,Position_ID,0),0)</f>
        <v>Equity</v>
      </c>
      <c r="D82" s="27"/>
    </row>
    <row r="83" spans="1:4" x14ac:dyDescent="0.35">
      <c r="A83" s="11">
        <v>43210</v>
      </c>
      <c r="B83" s="9">
        <v>1</v>
      </c>
      <c r="C83" s="6" t="str">
        <f>INDEX(Instrument_Type, MATCH(B83,Position_ID,0),0)</f>
        <v>Equity</v>
      </c>
      <c r="D83" s="27"/>
    </row>
    <row r="84" spans="1:4" x14ac:dyDescent="0.35">
      <c r="A84" s="11">
        <v>43213</v>
      </c>
      <c r="B84" s="9">
        <v>1</v>
      </c>
      <c r="C84" s="6" t="str">
        <f>INDEX(Instrument_Type, MATCH(B84,Position_ID,0),0)</f>
        <v>Equity</v>
      </c>
      <c r="D84" s="27"/>
    </row>
    <row r="85" spans="1:4" x14ac:dyDescent="0.35">
      <c r="A85" s="11">
        <v>43214</v>
      </c>
      <c r="B85" s="9">
        <v>1</v>
      </c>
      <c r="C85" s="6" t="str">
        <f>INDEX(Instrument_Type, MATCH(B85,Position_ID,0),0)</f>
        <v>Equity</v>
      </c>
      <c r="D85" s="27"/>
    </row>
    <row r="86" spans="1:4" x14ac:dyDescent="0.35">
      <c r="A86" s="11">
        <v>43215</v>
      </c>
      <c r="B86" s="9">
        <v>1</v>
      </c>
      <c r="C86" s="6" t="str">
        <f>INDEX(Instrument_Type, MATCH(B86,Position_ID,0),0)</f>
        <v>Equity</v>
      </c>
      <c r="D86" s="27"/>
    </row>
    <row r="87" spans="1:4" x14ac:dyDescent="0.35">
      <c r="A87" s="11">
        <v>43216</v>
      </c>
      <c r="B87" s="9">
        <v>1</v>
      </c>
      <c r="C87" s="6" t="str">
        <f>INDEX(Instrument_Type, MATCH(B87,Position_ID,0),0)</f>
        <v>Equity</v>
      </c>
      <c r="D87" s="27"/>
    </row>
    <row r="88" spans="1:4" x14ac:dyDescent="0.35">
      <c r="A88" s="11">
        <v>43217</v>
      </c>
      <c r="B88" s="9">
        <v>1</v>
      </c>
      <c r="C88" s="6" t="str">
        <f>INDEX(Instrument_Type, MATCH(B88,Position_ID,0),0)</f>
        <v>Equity</v>
      </c>
      <c r="D88" s="27"/>
    </row>
    <row r="89" spans="1:4" x14ac:dyDescent="0.35">
      <c r="A89" s="11">
        <v>43220</v>
      </c>
      <c r="B89" s="9">
        <v>1</v>
      </c>
      <c r="C89" s="6" t="str">
        <f>INDEX(Instrument_Type, MATCH(B89,Position_ID,0),0)</f>
        <v>Equity</v>
      </c>
      <c r="D89" s="27"/>
    </row>
    <row r="90" spans="1:4" x14ac:dyDescent="0.35">
      <c r="A90" s="11">
        <v>43221</v>
      </c>
      <c r="B90" s="9">
        <v>1</v>
      </c>
      <c r="C90" s="6" t="str">
        <f>INDEX(Instrument_Type, MATCH(B90,Position_ID,0),0)</f>
        <v>Equity</v>
      </c>
      <c r="D90" s="27"/>
    </row>
    <row r="91" spans="1:4" x14ac:dyDescent="0.35">
      <c r="A91" s="11">
        <v>43222</v>
      </c>
      <c r="B91" s="9">
        <v>1</v>
      </c>
      <c r="C91" s="6" t="str">
        <f>INDEX(Instrument_Type, MATCH(B91,Position_ID,0),0)</f>
        <v>Equity</v>
      </c>
      <c r="D91" s="27"/>
    </row>
    <row r="92" spans="1:4" x14ac:dyDescent="0.35">
      <c r="A92" s="11">
        <v>43223</v>
      </c>
      <c r="B92" s="9">
        <v>1</v>
      </c>
      <c r="C92" s="6" t="str">
        <f>INDEX(Instrument_Type, MATCH(B92,Position_ID,0),0)</f>
        <v>Equity</v>
      </c>
      <c r="D92" s="27"/>
    </row>
    <row r="93" spans="1:4" x14ac:dyDescent="0.35">
      <c r="A93" s="11">
        <v>43224</v>
      </c>
      <c r="B93" s="9">
        <v>1</v>
      </c>
      <c r="C93" s="6" t="str">
        <f>INDEX(Instrument_Type, MATCH(B93,Position_ID,0),0)</f>
        <v>Equity</v>
      </c>
      <c r="D93" s="27"/>
    </row>
    <row r="94" spans="1:4" x14ac:dyDescent="0.35">
      <c r="A94" s="11">
        <v>43227</v>
      </c>
      <c r="B94" s="9">
        <v>1</v>
      </c>
      <c r="C94" s="6" t="str">
        <f>INDEX(Instrument_Type, MATCH(B94,Position_ID,0),0)</f>
        <v>Equity</v>
      </c>
      <c r="D94" s="27"/>
    </row>
    <row r="95" spans="1:4" x14ac:dyDescent="0.35">
      <c r="A95" s="11">
        <v>43228</v>
      </c>
      <c r="B95" s="9">
        <v>1</v>
      </c>
      <c r="C95" s="6" t="str">
        <f>INDEX(Instrument_Type, MATCH(B95,Position_ID,0),0)</f>
        <v>Equity</v>
      </c>
      <c r="D95" s="27"/>
    </row>
    <row r="96" spans="1:4" x14ac:dyDescent="0.35">
      <c r="A96" s="11">
        <v>43229</v>
      </c>
      <c r="B96" s="9">
        <v>1</v>
      </c>
      <c r="C96" s="6" t="str">
        <f>INDEX(Instrument_Type, MATCH(B96,Position_ID,0),0)</f>
        <v>Equity</v>
      </c>
      <c r="D96" s="27"/>
    </row>
    <row r="97" spans="1:4" x14ac:dyDescent="0.35">
      <c r="A97" s="11">
        <v>43230</v>
      </c>
      <c r="B97" s="9">
        <v>1</v>
      </c>
      <c r="C97" s="6" t="str">
        <f>INDEX(Instrument_Type, MATCH(B97,Position_ID,0),0)</f>
        <v>Equity</v>
      </c>
      <c r="D97" s="27"/>
    </row>
    <row r="98" spans="1:4" x14ac:dyDescent="0.35">
      <c r="A98" s="11">
        <v>43231</v>
      </c>
      <c r="B98" s="9">
        <v>1</v>
      </c>
      <c r="C98" s="6" t="str">
        <f>INDEX(Instrument_Type, MATCH(B98,Position_ID,0),0)</f>
        <v>Equity</v>
      </c>
      <c r="D98" s="27"/>
    </row>
    <row r="99" spans="1:4" x14ac:dyDescent="0.35">
      <c r="A99" s="11">
        <v>43234</v>
      </c>
      <c r="B99" s="9">
        <v>1</v>
      </c>
      <c r="C99" s="6" t="str">
        <f>INDEX(Instrument_Type, MATCH(B99,Position_ID,0),0)</f>
        <v>Equity</v>
      </c>
      <c r="D99" s="27"/>
    </row>
    <row r="100" spans="1:4" x14ac:dyDescent="0.35">
      <c r="A100" s="11">
        <v>43235</v>
      </c>
      <c r="B100" s="9">
        <v>1</v>
      </c>
      <c r="C100" s="6" t="str">
        <f>INDEX(Instrument_Type, MATCH(B100,Position_ID,0),0)</f>
        <v>Equity</v>
      </c>
      <c r="D100" s="27"/>
    </row>
    <row r="101" spans="1:4" x14ac:dyDescent="0.35">
      <c r="A101" s="11">
        <v>43236</v>
      </c>
      <c r="B101" s="9">
        <v>1</v>
      </c>
      <c r="C101" s="6" t="str">
        <f>INDEX(Instrument_Type, MATCH(B101,Position_ID,0),0)</f>
        <v>Equity</v>
      </c>
      <c r="D101" s="27"/>
    </row>
    <row r="102" spans="1:4" x14ac:dyDescent="0.35">
      <c r="A102" s="11">
        <v>43097</v>
      </c>
      <c r="B102" s="9">
        <v>2</v>
      </c>
      <c r="C102" s="6" t="str">
        <f>INDEX(Instrument_Type, MATCH(B102,Position_ID,0),0)</f>
        <v>Bond</v>
      </c>
      <c r="D102" s="27"/>
    </row>
    <row r="103" spans="1:4" x14ac:dyDescent="0.35">
      <c r="A103" s="11">
        <v>43098</v>
      </c>
      <c r="B103" s="9">
        <v>2</v>
      </c>
      <c r="C103" s="6" t="str">
        <f>INDEX(Instrument_Type, MATCH(B103,Position_ID,0),0)</f>
        <v>Bond</v>
      </c>
      <c r="D103" s="27"/>
    </row>
    <row r="104" spans="1:4" x14ac:dyDescent="0.35">
      <c r="A104" s="11">
        <v>43101</v>
      </c>
      <c r="B104" s="9">
        <v>2</v>
      </c>
      <c r="C104" s="6" t="str">
        <f>INDEX(Instrument_Type, MATCH(B104,Position_ID,0),0)</f>
        <v>Bond</v>
      </c>
      <c r="D104" s="27"/>
    </row>
    <row r="105" spans="1:4" x14ac:dyDescent="0.35">
      <c r="A105" s="11">
        <v>43102</v>
      </c>
      <c r="B105" s="9">
        <v>2</v>
      </c>
      <c r="C105" s="6" t="str">
        <f>INDEX(Instrument_Type, MATCH(B105,Position_ID,0),0)</f>
        <v>Bond</v>
      </c>
      <c r="D105" s="27"/>
    </row>
    <row r="106" spans="1:4" x14ac:dyDescent="0.35">
      <c r="A106" s="11">
        <v>43103</v>
      </c>
      <c r="B106" s="9">
        <v>2</v>
      </c>
      <c r="C106" s="6" t="str">
        <f>INDEX(Instrument_Type, MATCH(B106,Position_ID,0),0)</f>
        <v>Bond</v>
      </c>
      <c r="D106" s="27"/>
    </row>
    <row r="107" spans="1:4" x14ac:dyDescent="0.35">
      <c r="A107" s="11">
        <v>43104</v>
      </c>
      <c r="B107" s="9">
        <v>2</v>
      </c>
      <c r="C107" s="6" t="str">
        <f>INDEX(Instrument_Type, MATCH(B107,Position_ID,0),0)</f>
        <v>Bond</v>
      </c>
      <c r="D107" s="27"/>
    </row>
    <row r="108" spans="1:4" x14ac:dyDescent="0.35">
      <c r="A108" s="11">
        <v>43105</v>
      </c>
      <c r="B108" s="9">
        <v>2</v>
      </c>
      <c r="C108" s="6" t="str">
        <f>INDEX(Instrument_Type, MATCH(B108,Position_ID,0),0)</f>
        <v>Bond</v>
      </c>
      <c r="D108" s="27"/>
    </row>
    <row r="109" spans="1:4" x14ac:dyDescent="0.35">
      <c r="A109" s="11">
        <v>43108</v>
      </c>
      <c r="B109" s="9">
        <v>2</v>
      </c>
      <c r="C109" s="6" t="str">
        <f>INDEX(Instrument_Type, MATCH(B109,Position_ID,0),0)</f>
        <v>Bond</v>
      </c>
      <c r="D109" s="27"/>
    </row>
    <row r="110" spans="1:4" x14ac:dyDescent="0.35">
      <c r="A110" s="11">
        <v>43109</v>
      </c>
      <c r="B110" s="9">
        <v>2</v>
      </c>
      <c r="C110" s="6" t="str">
        <f>INDEX(Instrument_Type, MATCH(B110,Position_ID,0),0)</f>
        <v>Bond</v>
      </c>
      <c r="D110" s="27"/>
    </row>
    <row r="111" spans="1:4" x14ac:dyDescent="0.35">
      <c r="A111" s="11">
        <v>43110</v>
      </c>
      <c r="B111" s="9">
        <v>2</v>
      </c>
      <c r="C111" s="6" t="str">
        <f>INDEX(Instrument_Type, MATCH(B111,Position_ID,0),0)</f>
        <v>Bond</v>
      </c>
      <c r="D111" s="27"/>
    </row>
    <row r="112" spans="1:4" x14ac:dyDescent="0.35">
      <c r="A112" s="11">
        <v>43111</v>
      </c>
      <c r="B112" s="9">
        <v>2</v>
      </c>
      <c r="C112" s="6" t="str">
        <f>INDEX(Instrument_Type, MATCH(B112,Position_ID,0),0)</f>
        <v>Bond</v>
      </c>
      <c r="D112" s="27"/>
    </row>
    <row r="113" spans="1:4" x14ac:dyDescent="0.35">
      <c r="A113" s="11">
        <v>43112</v>
      </c>
      <c r="B113" s="9">
        <v>2</v>
      </c>
      <c r="C113" s="6" t="str">
        <f>INDEX(Instrument_Type, MATCH(B113,Position_ID,0),0)</f>
        <v>Bond</v>
      </c>
      <c r="D113" s="27"/>
    </row>
    <row r="114" spans="1:4" x14ac:dyDescent="0.35">
      <c r="A114" s="11">
        <v>43115</v>
      </c>
      <c r="B114" s="9">
        <v>2</v>
      </c>
      <c r="C114" s="6" t="str">
        <f>INDEX(Instrument_Type, MATCH(B114,Position_ID,0),0)</f>
        <v>Bond</v>
      </c>
      <c r="D114" s="27"/>
    </row>
    <row r="115" spans="1:4" x14ac:dyDescent="0.35">
      <c r="A115" s="11">
        <v>43116</v>
      </c>
      <c r="B115" s="9">
        <v>2</v>
      </c>
      <c r="C115" s="6" t="str">
        <f>INDEX(Instrument_Type, MATCH(B115,Position_ID,0),0)</f>
        <v>Bond</v>
      </c>
      <c r="D115" s="27"/>
    </row>
    <row r="116" spans="1:4" x14ac:dyDescent="0.35">
      <c r="A116" s="11">
        <v>43117</v>
      </c>
      <c r="B116" s="9">
        <v>2</v>
      </c>
      <c r="C116" s="6" t="str">
        <f>INDEX(Instrument_Type, MATCH(B116,Position_ID,0),0)</f>
        <v>Bond</v>
      </c>
      <c r="D116" s="27"/>
    </row>
    <row r="117" spans="1:4" x14ac:dyDescent="0.35">
      <c r="A117" s="11">
        <v>43118</v>
      </c>
      <c r="B117" s="9">
        <v>2</v>
      </c>
      <c r="C117" s="6" t="str">
        <f>INDEX(Instrument_Type, MATCH(B117,Position_ID,0),0)</f>
        <v>Bond</v>
      </c>
      <c r="D117" s="27"/>
    </row>
    <row r="118" spans="1:4" x14ac:dyDescent="0.35">
      <c r="A118" s="11">
        <v>43119</v>
      </c>
      <c r="B118" s="9">
        <v>2</v>
      </c>
      <c r="C118" s="6" t="str">
        <f>INDEX(Instrument_Type, MATCH(B118,Position_ID,0),0)</f>
        <v>Bond</v>
      </c>
      <c r="D118" s="27"/>
    </row>
    <row r="119" spans="1:4" x14ac:dyDescent="0.35">
      <c r="A119" s="11">
        <v>43122</v>
      </c>
      <c r="B119" s="9">
        <v>2</v>
      </c>
      <c r="C119" s="6" t="str">
        <f>INDEX(Instrument_Type, MATCH(B119,Position_ID,0),0)</f>
        <v>Bond</v>
      </c>
      <c r="D119" s="27"/>
    </row>
    <row r="120" spans="1:4" x14ac:dyDescent="0.35">
      <c r="A120" s="11">
        <v>43123</v>
      </c>
      <c r="B120" s="9">
        <v>2</v>
      </c>
      <c r="C120" s="6" t="str">
        <f>INDEX(Instrument_Type, MATCH(B120,Position_ID,0),0)</f>
        <v>Bond</v>
      </c>
      <c r="D120" s="27"/>
    </row>
    <row r="121" spans="1:4" x14ac:dyDescent="0.35">
      <c r="A121" s="11">
        <v>43124</v>
      </c>
      <c r="B121" s="9">
        <v>2</v>
      </c>
      <c r="C121" s="6" t="str">
        <f>INDEX(Instrument_Type, MATCH(B121,Position_ID,0),0)</f>
        <v>Bond</v>
      </c>
      <c r="D121" s="27"/>
    </row>
    <row r="122" spans="1:4" x14ac:dyDescent="0.35">
      <c r="A122" s="11">
        <v>43125</v>
      </c>
      <c r="B122" s="9">
        <v>2</v>
      </c>
      <c r="C122" s="6" t="str">
        <f>INDEX(Instrument_Type, MATCH(B122,Position_ID,0),0)</f>
        <v>Bond</v>
      </c>
      <c r="D122" s="27"/>
    </row>
    <row r="123" spans="1:4" x14ac:dyDescent="0.35">
      <c r="A123" s="11">
        <v>43126</v>
      </c>
      <c r="B123" s="9">
        <v>2</v>
      </c>
      <c r="C123" s="6" t="str">
        <f>INDEX(Instrument_Type, MATCH(B123,Position_ID,0),0)</f>
        <v>Bond</v>
      </c>
      <c r="D123" s="27"/>
    </row>
    <row r="124" spans="1:4" x14ac:dyDescent="0.35">
      <c r="A124" s="11">
        <v>43129</v>
      </c>
      <c r="B124" s="9">
        <v>2</v>
      </c>
      <c r="C124" s="6" t="str">
        <f>INDEX(Instrument_Type, MATCH(B124,Position_ID,0),0)</f>
        <v>Bond</v>
      </c>
      <c r="D124" s="27"/>
    </row>
    <row r="125" spans="1:4" x14ac:dyDescent="0.35">
      <c r="A125" s="11">
        <v>43130</v>
      </c>
      <c r="B125" s="9">
        <v>2</v>
      </c>
      <c r="C125" s="6" t="str">
        <f>INDEX(Instrument_Type, MATCH(B125,Position_ID,0),0)</f>
        <v>Bond</v>
      </c>
      <c r="D125" s="27"/>
    </row>
    <row r="126" spans="1:4" x14ac:dyDescent="0.35">
      <c r="A126" s="11">
        <v>43131</v>
      </c>
      <c r="B126" s="9">
        <v>2</v>
      </c>
      <c r="C126" s="6" t="str">
        <f>INDEX(Instrument_Type, MATCH(B126,Position_ID,0),0)</f>
        <v>Bond</v>
      </c>
      <c r="D126" s="27"/>
    </row>
    <row r="127" spans="1:4" x14ac:dyDescent="0.35">
      <c r="A127" s="11">
        <v>43132</v>
      </c>
      <c r="B127" s="9">
        <v>2</v>
      </c>
      <c r="C127" s="6" t="str">
        <f>INDEX(Instrument_Type, MATCH(B127,Position_ID,0),0)</f>
        <v>Bond</v>
      </c>
      <c r="D127" s="27"/>
    </row>
    <row r="128" spans="1:4" x14ac:dyDescent="0.35">
      <c r="A128" s="11">
        <v>43133</v>
      </c>
      <c r="B128" s="9">
        <v>2</v>
      </c>
      <c r="C128" s="6" t="str">
        <f>INDEX(Instrument_Type, MATCH(B128,Position_ID,0),0)</f>
        <v>Bond</v>
      </c>
      <c r="D128" s="27"/>
    </row>
    <row r="129" spans="1:4" x14ac:dyDescent="0.35">
      <c r="A129" s="11">
        <v>43136</v>
      </c>
      <c r="B129" s="9">
        <v>2</v>
      </c>
      <c r="C129" s="6" t="str">
        <f>INDEX(Instrument_Type, MATCH(B129,Position_ID,0),0)</f>
        <v>Bond</v>
      </c>
      <c r="D129" s="27"/>
    </row>
    <row r="130" spans="1:4" x14ac:dyDescent="0.35">
      <c r="A130" s="11">
        <v>43137</v>
      </c>
      <c r="B130" s="9">
        <v>2</v>
      </c>
      <c r="C130" s="6" t="str">
        <f>INDEX(Instrument_Type, MATCH(B130,Position_ID,0),0)</f>
        <v>Bond</v>
      </c>
      <c r="D130" s="27"/>
    </row>
    <row r="131" spans="1:4" x14ac:dyDescent="0.35">
      <c r="A131" s="11">
        <v>43138</v>
      </c>
      <c r="B131" s="9">
        <v>2</v>
      </c>
      <c r="C131" s="6" t="str">
        <f>INDEX(Instrument_Type, MATCH(B131,Position_ID,0),0)</f>
        <v>Bond</v>
      </c>
      <c r="D131" s="27"/>
    </row>
    <row r="132" spans="1:4" x14ac:dyDescent="0.35">
      <c r="A132" s="11">
        <v>43139</v>
      </c>
      <c r="B132" s="9">
        <v>2</v>
      </c>
      <c r="C132" s="6" t="str">
        <f>INDEX(Instrument_Type, MATCH(B132,Position_ID,0),0)</f>
        <v>Bond</v>
      </c>
      <c r="D132" s="27"/>
    </row>
    <row r="133" spans="1:4" x14ac:dyDescent="0.35">
      <c r="A133" s="11">
        <v>43140</v>
      </c>
      <c r="B133" s="9">
        <v>2</v>
      </c>
      <c r="C133" s="6" t="str">
        <f>INDEX(Instrument_Type, MATCH(B133,Position_ID,0),0)</f>
        <v>Bond</v>
      </c>
      <c r="D133" s="27"/>
    </row>
    <row r="134" spans="1:4" x14ac:dyDescent="0.35">
      <c r="A134" s="11">
        <v>43143</v>
      </c>
      <c r="B134" s="9">
        <v>2</v>
      </c>
      <c r="C134" s="6" t="str">
        <f>INDEX(Instrument_Type, MATCH(B134,Position_ID,0),0)</f>
        <v>Bond</v>
      </c>
      <c r="D134" s="27"/>
    </row>
    <row r="135" spans="1:4" x14ac:dyDescent="0.35">
      <c r="A135" s="11">
        <v>43144</v>
      </c>
      <c r="B135" s="9">
        <v>2</v>
      </c>
      <c r="C135" s="6" t="str">
        <f>INDEX(Instrument_Type, MATCH(B135,Position_ID,0),0)</f>
        <v>Bond</v>
      </c>
      <c r="D135" s="27"/>
    </row>
    <row r="136" spans="1:4" x14ac:dyDescent="0.35">
      <c r="A136" s="11">
        <v>43145</v>
      </c>
      <c r="B136" s="9">
        <v>2</v>
      </c>
      <c r="C136" s="6" t="str">
        <f>INDEX(Instrument_Type, MATCH(B136,Position_ID,0),0)</f>
        <v>Bond</v>
      </c>
      <c r="D136" s="27"/>
    </row>
    <row r="137" spans="1:4" x14ac:dyDescent="0.35">
      <c r="A137" s="11">
        <v>43146</v>
      </c>
      <c r="B137" s="9">
        <v>2</v>
      </c>
      <c r="C137" s="6" t="str">
        <f>INDEX(Instrument_Type, MATCH(B137,Position_ID,0),0)</f>
        <v>Bond</v>
      </c>
      <c r="D137" s="27"/>
    </row>
    <row r="138" spans="1:4" x14ac:dyDescent="0.35">
      <c r="A138" s="11">
        <v>43147</v>
      </c>
      <c r="B138" s="9">
        <v>2</v>
      </c>
      <c r="C138" s="6" t="str">
        <f>INDEX(Instrument_Type, MATCH(B138,Position_ID,0),0)</f>
        <v>Bond</v>
      </c>
      <c r="D138" s="27"/>
    </row>
    <row r="139" spans="1:4" x14ac:dyDescent="0.35">
      <c r="A139" s="11">
        <v>43150</v>
      </c>
      <c r="B139" s="9">
        <v>2</v>
      </c>
      <c r="C139" s="6" t="str">
        <f>INDEX(Instrument_Type, MATCH(B139,Position_ID,0),0)</f>
        <v>Bond</v>
      </c>
      <c r="D139" s="27"/>
    </row>
    <row r="140" spans="1:4" x14ac:dyDescent="0.35">
      <c r="A140" s="11">
        <v>43151</v>
      </c>
      <c r="B140" s="9">
        <v>2</v>
      </c>
      <c r="C140" s="6" t="str">
        <f>INDEX(Instrument_Type, MATCH(B140,Position_ID,0),0)</f>
        <v>Bond</v>
      </c>
      <c r="D140" s="27"/>
    </row>
    <row r="141" spans="1:4" x14ac:dyDescent="0.35">
      <c r="A141" s="11">
        <v>43152</v>
      </c>
      <c r="B141" s="9">
        <v>2</v>
      </c>
      <c r="C141" s="6" t="str">
        <f>INDEX(Instrument_Type, MATCH(B141,Position_ID,0),0)</f>
        <v>Bond</v>
      </c>
      <c r="D141" s="27"/>
    </row>
    <row r="142" spans="1:4" x14ac:dyDescent="0.35">
      <c r="A142" s="11">
        <v>43153</v>
      </c>
      <c r="B142" s="9">
        <v>2</v>
      </c>
      <c r="C142" s="6" t="str">
        <f>INDEX(Instrument_Type, MATCH(B142,Position_ID,0),0)</f>
        <v>Bond</v>
      </c>
      <c r="D142" s="27"/>
    </row>
    <row r="143" spans="1:4" x14ac:dyDescent="0.35">
      <c r="A143" s="11">
        <v>43154</v>
      </c>
      <c r="B143" s="9">
        <v>2</v>
      </c>
      <c r="C143" s="6" t="str">
        <f>INDEX(Instrument_Type, MATCH(B143,Position_ID,0),0)</f>
        <v>Bond</v>
      </c>
      <c r="D143" s="27"/>
    </row>
    <row r="144" spans="1:4" x14ac:dyDescent="0.35">
      <c r="A144" s="11">
        <v>43157</v>
      </c>
      <c r="B144" s="9">
        <v>2</v>
      </c>
      <c r="C144" s="6" t="str">
        <f>INDEX(Instrument_Type, MATCH(B144,Position_ID,0),0)</f>
        <v>Bond</v>
      </c>
      <c r="D144" s="27"/>
    </row>
    <row r="145" spans="1:4" x14ac:dyDescent="0.35">
      <c r="A145" s="11">
        <v>43158</v>
      </c>
      <c r="B145" s="9">
        <v>2</v>
      </c>
      <c r="C145" s="6" t="str">
        <f>INDEX(Instrument_Type, MATCH(B145,Position_ID,0),0)</f>
        <v>Bond</v>
      </c>
      <c r="D145" s="27"/>
    </row>
    <row r="146" spans="1:4" x14ac:dyDescent="0.35">
      <c r="A146" s="11">
        <v>43159</v>
      </c>
      <c r="B146" s="9">
        <v>2</v>
      </c>
      <c r="C146" s="6" t="str">
        <f>INDEX(Instrument_Type, MATCH(B146,Position_ID,0),0)</f>
        <v>Bond</v>
      </c>
      <c r="D146" s="27"/>
    </row>
    <row r="147" spans="1:4" x14ac:dyDescent="0.35">
      <c r="A147" s="11">
        <v>43160</v>
      </c>
      <c r="B147" s="9">
        <v>2</v>
      </c>
      <c r="C147" s="6" t="str">
        <f>INDEX(Instrument_Type, MATCH(B147,Position_ID,0),0)</f>
        <v>Bond</v>
      </c>
      <c r="D147" s="27"/>
    </row>
    <row r="148" spans="1:4" x14ac:dyDescent="0.35">
      <c r="A148" s="11">
        <v>43161</v>
      </c>
      <c r="B148" s="9">
        <v>2</v>
      </c>
      <c r="C148" s="6" t="str">
        <f>INDEX(Instrument_Type, MATCH(B148,Position_ID,0),0)</f>
        <v>Bond</v>
      </c>
      <c r="D148" s="27"/>
    </row>
    <row r="149" spans="1:4" x14ac:dyDescent="0.35">
      <c r="A149" s="11">
        <v>43164</v>
      </c>
      <c r="B149" s="9">
        <v>2</v>
      </c>
      <c r="C149" s="6" t="str">
        <f>INDEX(Instrument_Type, MATCH(B149,Position_ID,0),0)</f>
        <v>Bond</v>
      </c>
      <c r="D149" s="27"/>
    </row>
    <row r="150" spans="1:4" x14ac:dyDescent="0.35">
      <c r="A150" s="11">
        <v>43165</v>
      </c>
      <c r="B150" s="9">
        <v>2</v>
      </c>
      <c r="C150" s="6" t="str">
        <f>INDEX(Instrument_Type, MATCH(B150,Position_ID,0),0)</f>
        <v>Bond</v>
      </c>
      <c r="D150" s="27"/>
    </row>
    <row r="151" spans="1:4" x14ac:dyDescent="0.35">
      <c r="A151" s="11">
        <v>43166</v>
      </c>
      <c r="B151" s="9">
        <v>2</v>
      </c>
      <c r="C151" s="6" t="str">
        <f>INDEX(Instrument_Type, MATCH(B151,Position_ID,0),0)</f>
        <v>Bond</v>
      </c>
      <c r="D151" s="27"/>
    </row>
    <row r="152" spans="1:4" x14ac:dyDescent="0.35">
      <c r="A152" s="11">
        <v>43167</v>
      </c>
      <c r="B152" s="9">
        <v>2</v>
      </c>
      <c r="C152" s="6" t="str">
        <f>INDEX(Instrument_Type, MATCH(B152,Position_ID,0),0)</f>
        <v>Bond</v>
      </c>
      <c r="D152" s="27"/>
    </row>
    <row r="153" spans="1:4" x14ac:dyDescent="0.35">
      <c r="A153" s="11">
        <v>43168</v>
      </c>
      <c r="B153" s="9">
        <v>2</v>
      </c>
      <c r="C153" s="6" t="str">
        <f>INDEX(Instrument_Type, MATCH(B153,Position_ID,0),0)</f>
        <v>Bond</v>
      </c>
      <c r="D153" s="27"/>
    </row>
    <row r="154" spans="1:4" x14ac:dyDescent="0.35">
      <c r="A154" s="11">
        <v>43171</v>
      </c>
      <c r="B154" s="9">
        <v>2</v>
      </c>
      <c r="C154" s="6" t="str">
        <f>INDEX(Instrument_Type, MATCH(B154,Position_ID,0),0)</f>
        <v>Bond</v>
      </c>
      <c r="D154" s="27"/>
    </row>
    <row r="155" spans="1:4" x14ac:dyDescent="0.35">
      <c r="A155" s="11">
        <v>43172</v>
      </c>
      <c r="B155" s="9">
        <v>2</v>
      </c>
      <c r="C155" s="6" t="str">
        <f>INDEX(Instrument_Type, MATCH(B155,Position_ID,0),0)</f>
        <v>Bond</v>
      </c>
      <c r="D155" s="27"/>
    </row>
    <row r="156" spans="1:4" x14ac:dyDescent="0.35">
      <c r="A156" s="11">
        <v>43173</v>
      </c>
      <c r="B156" s="9">
        <v>2</v>
      </c>
      <c r="C156" s="6" t="str">
        <f>INDEX(Instrument_Type, MATCH(B156,Position_ID,0),0)</f>
        <v>Bond</v>
      </c>
      <c r="D156" s="27"/>
    </row>
    <row r="157" spans="1:4" x14ac:dyDescent="0.35">
      <c r="A157" s="11">
        <v>43174</v>
      </c>
      <c r="B157" s="9">
        <v>2</v>
      </c>
      <c r="C157" s="6" t="str">
        <f>INDEX(Instrument_Type, MATCH(B157,Position_ID,0),0)</f>
        <v>Bond</v>
      </c>
      <c r="D157" s="27"/>
    </row>
    <row r="158" spans="1:4" x14ac:dyDescent="0.35">
      <c r="A158" s="11">
        <v>43175</v>
      </c>
      <c r="B158" s="9">
        <v>2</v>
      </c>
      <c r="C158" s="6" t="str">
        <f>INDEX(Instrument_Type, MATCH(B158,Position_ID,0),0)</f>
        <v>Bond</v>
      </c>
      <c r="D158" s="27"/>
    </row>
    <row r="159" spans="1:4" x14ac:dyDescent="0.35">
      <c r="A159" s="11">
        <v>43178</v>
      </c>
      <c r="B159" s="9">
        <v>2</v>
      </c>
      <c r="C159" s="6" t="str">
        <f>INDEX(Instrument_Type, MATCH(B159,Position_ID,0),0)</f>
        <v>Bond</v>
      </c>
      <c r="D159" s="27"/>
    </row>
    <row r="160" spans="1:4" x14ac:dyDescent="0.35">
      <c r="A160" s="11">
        <v>43179</v>
      </c>
      <c r="B160" s="9">
        <v>2</v>
      </c>
      <c r="C160" s="6" t="str">
        <f>INDEX(Instrument_Type, MATCH(B160,Position_ID,0),0)</f>
        <v>Bond</v>
      </c>
      <c r="D160" s="27"/>
    </row>
    <row r="161" spans="1:4" x14ac:dyDescent="0.35">
      <c r="A161" s="11">
        <v>43180</v>
      </c>
      <c r="B161" s="9">
        <v>2</v>
      </c>
      <c r="C161" s="6" t="str">
        <f>INDEX(Instrument_Type, MATCH(B161,Position_ID,0),0)</f>
        <v>Bond</v>
      </c>
      <c r="D161" s="27"/>
    </row>
    <row r="162" spans="1:4" x14ac:dyDescent="0.35">
      <c r="A162" s="11">
        <v>43181</v>
      </c>
      <c r="B162" s="9">
        <v>2</v>
      </c>
      <c r="C162" s="6" t="str">
        <f>INDEX(Instrument_Type, MATCH(B162,Position_ID,0),0)</f>
        <v>Bond</v>
      </c>
      <c r="D162" s="27"/>
    </row>
    <row r="163" spans="1:4" x14ac:dyDescent="0.35">
      <c r="A163" s="11">
        <v>43182</v>
      </c>
      <c r="B163" s="9">
        <v>2</v>
      </c>
      <c r="C163" s="6" t="str">
        <f>INDEX(Instrument_Type, MATCH(B163,Position_ID,0),0)</f>
        <v>Bond</v>
      </c>
      <c r="D163" s="27"/>
    </row>
    <row r="164" spans="1:4" x14ac:dyDescent="0.35">
      <c r="A164" s="11">
        <v>43185</v>
      </c>
      <c r="B164" s="9">
        <v>2</v>
      </c>
      <c r="C164" s="6" t="str">
        <f>INDEX(Instrument_Type, MATCH(B164,Position_ID,0),0)</f>
        <v>Bond</v>
      </c>
      <c r="D164" s="27"/>
    </row>
    <row r="165" spans="1:4" x14ac:dyDescent="0.35">
      <c r="A165" s="11">
        <v>43186</v>
      </c>
      <c r="B165" s="9">
        <v>2</v>
      </c>
      <c r="C165" s="6" t="str">
        <f>INDEX(Instrument_Type, MATCH(B165,Position_ID,0),0)</f>
        <v>Bond</v>
      </c>
      <c r="D165" s="27"/>
    </row>
    <row r="166" spans="1:4" x14ac:dyDescent="0.35">
      <c r="A166" s="11">
        <v>43187</v>
      </c>
      <c r="B166" s="9">
        <v>2</v>
      </c>
      <c r="C166" s="6" t="str">
        <f>INDEX(Instrument_Type, MATCH(B166,Position_ID,0),0)</f>
        <v>Bond</v>
      </c>
      <c r="D166" s="27"/>
    </row>
    <row r="167" spans="1:4" x14ac:dyDescent="0.35">
      <c r="A167" s="11">
        <v>43188</v>
      </c>
      <c r="B167" s="9">
        <v>2</v>
      </c>
      <c r="C167" s="6" t="str">
        <f>INDEX(Instrument_Type, MATCH(B167,Position_ID,0),0)</f>
        <v>Bond</v>
      </c>
      <c r="D167" s="27"/>
    </row>
    <row r="168" spans="1:4" x14ac:dyDescent="0.35">
      <c r="A168" s="11">
        <v>43189</v>
      </c>
      <c r="B168" s="9">
        <v>2</v>
      </c>
      <c r="C168" s="6" t="str">
        <f>INDEX(Instrument_Type, MATCH(B168,Position_ID,0),0)</f>
        <v>Bond</v>
      </c>
      <c r="D168" s="27"/>
    </row>
    <row r="169" spans="1:4" x14ac:dyDescent="0.35">
      <c r="A169" s="11">
        <v>43192</v>
      </c>
      <c r="B169" s="9">
        <v>2</v>
      </c>
      <c r="C169" s="6" t="str">
        <f>INDEX(Instrument_Type, MATCH(B169,Position_ID,0),0)</f>
        <v>Bond</v>
      </c>
      <c r="D169" s="27"/>
    </row>
    <row r="170" spans="1:4" x14ac:dyDescent="0.35">
      <c r="A170" s="11">
        <v>43193</v>
      </c>
      <c r="B170" s="9">
        <v>2</v>
      </c>
      <c r="C170" s="6" t="str">
        <f>INDEX(Instrument_Type, MATCH(B170,Position_ID,0),0)</f>
        <v>Bond</v>
      </c>
      <c r="D170" s="27"/>
    </row>
    <row r="171" spans="1:4" x14ac:dyDescent="0.35">
      <c r="A171" s="11">
        <v>43194</v>
      </c>
      <c r="B171" s="9">
        <v>2</v>
      </c>
      <c r="C171" s="6" t="str">
        <f>INDEX(Instrument_Type, MATCH(B171,Position_ID,0),0)</f>
        <v>Bond</v>
      </c>
      <c r="D171" s="27"/>
    </row>
    <row r="172" spans="1:4" x14ac:dyDescent="0.35">
      <c r="A172" s="11">
        <v>43195</v>
      </c>
      <c r="B172" s="9">
        <v>2</v>
      </c>
      <c r="C172" s="6" t="str">
        <f>INDEX(Instrument_Type, MATCH(B172,Position_ID,0),0)</f>
        <v>Bond</v>
      </c>
      <c r="D172" s="27"/>
    </row>
    <row r="173" spans="1:4" x14ac:dyDescent="0.35">
      <c r="A173" s="11">
        <v>43196</v>
      </c>
      <c r="B173" s="9">
        <v>2</v>
      </c>
      <c r="C173" s="6" t="str">
        <f>INDEX(Instrument_Type, MATCH(B173,Position_ID,0),0)</f>
        <v>Bond</v>
      </c>
      <c r="D173" s="27"/>
    </row>
    <row r="174" spans="1:4" x14ac:dyDescent="0.35">
      <c r="A174" s="11">
        <v>43199</v>
      </c>
      <c r="B174" s="9">
        <v>2</v>
      </c>
      <c r="C174" s="6" t="str">
        <f>INDEX(Instrument_Type, MATCH(B174,Position_ID,0),0)</f>
        <v>Bond</v>
      </c>
      <c r="D174" s="27"/>
    </row>
    <row r="175" spans="1:4" x14ac:dyDescent="0.35">
      <c r="A175" s="11">
        <v>43200</v>
      </c>
      <c r="B175" s="9">
        <v>2</v>
      </c>
      <c r="C175" s="6" t="str">
        <f>INDEX(Instrument_Type, MATCH(B175,Position_ID,0),0)</f>
        <v>Bond</v>
      </c>
      <c r="D175" s="27"/>
    </row>
    <row r="176" spans="1:4" x14ac:dyDescent="0.35">
      <c r="A176" s="11">
        <v>43201</v>
      </c>
      <c r="B176" s="9">
        <v>2</v>
      </c>
      <c r="C176" s="6" t="str">
        <f>INDEX(Instrument_Type, MATCH(B176,Position_ID,0),0)</f>
        <v>Bond</v>
      </c>
      <c r="D176" s="27"/>
    </row>
    <row r="177" spans="1:4" x14ac:dyDescent="0.35">
      <c r="A177" s="11">
        <v>43202</v>
      </c>
      <c r="B177" s="9">
        <v>2</v>
      </c>
      <c r="C177" s="6" t="str">
        <f>INDEX(Instrument_Type, MATCH(B177,Position_ID,0),0)</f>
        <v>Bond</v>
      </c>
      <c r="D177" s="27"/>
    </row>
    <row r="178" spans="1:4" x14ac:dyDescent="0.35">
      <c r="A178" s="11">
        <v>43203</v>
      </c>
      <c r="B178" s="9">
        <v>2</v>
      </c>
      <c r="C178" s="6" t="str">
        <f>INDEX(Instrument_Type, MATCH(B178,Position_ID,0),0)</f>
        <v>Bond</v>
      </c>
      <c r="D178" s="27"/>
    </row>
    <row r="179" spans="1:4" x14ac:dyDescent="0.35">
      <c r="A179" s="11">
        <v>43206</v>
      </c>
      <c r="B179" s="9">
        <v>2</v>
      </c>
      <c r="C179" s="6" t="str">
        <f>INDEX(Instrument_Type, MATCH(B179,Position_ID,0),0)</f>
        <v>Bond</v>
      </c>
      <c r="D179" s="27"/>
    </row>
    <row r="180" spans="1:4" x14ac:dyDescent="0.35">
      <c r="A180" s="11">
        <v>43207</v>
      </c>
      <c r="B180" s="9">
        <v>2</v>
      </c>
      <c r="C180" s="6" t="str">
        <f>INDEX(Instrument_Type, MATCH(B180,Position_ID,0),0)</f>
        <v>Bond</v>
      </c>
      <c r="D180" s="27"/>
    </row>
    <row r="181" spans="1:4" x14ac:dyDescent="0.35">
      <c r="A181" s="11">
        <v>43208</v>
      </c>
      <c r="B181" s="9">
        <v>2</v>
      </c>
      <c r="C181" s="6" t="str">
        <f>INDEX(Instrument_Type, MATCH(B181,Position_ID,0),0)</f>
        <v>Bond</v>
      </c>
      <c r="D181" s="27"/>
    </row>
    <row r="182" spans="1:4" x14ac:dyDescent="0.35">
      <c r="A182" s="11">
        <v>43209</v>
      </c>
      <c r="B182" s="9">
        <v>2</v>
      </c>
      <c r="C182" s="6" t="str">
        <f>INDEX(Instrument_Type, MATCH(B182,Position_ID,0),0)</f>
        <v>Bond</v>
      </c>
      <c r="D182" s="27"/>
    </row>
    <row r="183" spans="1:4" x14ac:dyDescent="0.35">
      <c r="A183" s="11">
        <v>43210</v>
      </c>
      <c r="B183" s="9">
        <v>2</v>
      </c>
      <c r="C183" s="6" t="str">
        <f>INDEX(Instrument_Type, MATCH(B183,Position_ID,0),0)</f>
        <v>Bond</v>
      </c>
      <c r="D183" s="27"/>
    </row>
    <row r="184" spans="1:4" x14ac:dyDescent="0.35">
      <c r="A184" s="11">
        <v>43213</v>
      </c>
      <c r="B184" s="9">
        <v>2</v>
      </c>
      <c r="C184" s="6" t="str">
        <f>INDEX(Instrument_Type, MATCH(B184,Position_ID,0),0)</f>
        <v>Bond</v>
      </c>
      <c r="D184" s="27"/>
    </row>
    <row r="185" spans="1:4" x14ac:dyDescent="0.35">
      <c r="A185" s="11">
        <v>43214</v>
      </c>
      <c r="B185" s="9">
        <v>2</v>
      </c>
      <c r="C185" s="6" t="str">
        <f>INDEX(Instrument_Type, MATCH(B185,Position_ID,0),0)</f>
        <v>Bond</v>
      </c>
      <c r="D185" s="27"/>
    </row>
    <row r="186" spans="1:4" x14ac:dyDescent="0.35">
      <c r="A186" s="11">
        <v>43215</v>
      </c>
      <c r="B186" s="9">
        <v>2</v>
      </c>
      <c r="C186" s="6" t="str">
        <f>INDEX(Instrument_Type, MATCH(B186,Position_ID,0),0)</f>
        <v>Bond</v>
      </c>
      <c r="D186" s="27"/>
    </row>
    <row r="187" spans="1:4" x14ac:dyDescent="0.35">
      <c r="A187" s="11">
        <v>43216</v>
      </c>
      <c r="B187" s="9">
        <v>2</v>
      </c>
      <c r="C187" s="6" t="str">
        <f>INDEX(Instrument_Type, MATCH(B187,Position_ID,0),0)</f>
        <v>Bond</v>
      </c>
      <c r="D187" s="27"/>
    </row>
    <row r="188" spans="1:4" x14ac:dyDescent="0.35">
      <c r="A188" s="11">
        <v>43217</v>
      </c>
      <c r="B188" s="9">
        <v>2</v>
      </c>
      <c r="C188" s="6" t="str">
        <f>INDEX(Instrument_Type, MATCH(B188,Position_ID,0),0)</f>
        <v>Bond</v>
      </c>
      <c r="D188" s="27"/>
    </row>
    <row r="189" spans="1:4" x14ac:dyDescent="0.35">
      <c r="A189" s="11">
        <v>43220</v>
      </c>
      <c r="B189" s="9">
        <v>2</v>
      </c>
      <c r="C189" s="6" t="str">
        <f>INDEX(Instrument_Type, MATCH(B189,Position_ID,0),0)</f>
        <v>Bond</v>
      </c>
      <c r="D189" s="27"/>
    </row>
    <row r="190" spans="1:4" x14ac:dyDescent="0.35">
      <c r="A190" s="11">
        <v>43221</v>
      </c>
      <c r="B190" s="9">
        <v>2</v>
      </c>
      <c r="C190" s="6" t="str">
        <f>INDEX(Instrument_Type, MATCH(B190,Position_ID,0),0)</f>
        <v>Bond</v>
      </c>
      <c r="D190" s="27"/>
    </row>
    <row r="191" spans="1:4" x14ac:dyDescent="0.35">
      <c r="A191" s="11">
        <v>43222</v>
      </c>
      <c r="B191" s="9">
        <v>2</v>
      </c>
      <c r="C191" s="6" t="str">
        <f>INDEX(Instrument_Type, MATCH(B191,Position_ID,0),0)</f>
        <v>Bond</v>
      </c>
      <c r="D191" s="27"/>
    </row>
    <row r="192" spans="1:4" x14ac:dyDescent="0.35">
      <c r="A192" s="11">
        <v>43223</v>
      </c>
      <c r="B192" s="9">
        <v>2</v>
      </c>
      <c r="C192" s="6" t="str">
        <f>INDEX(Instrument_Type, MATCH(B192,Position_ID,0),0)</f>
        <v>Bond</v>
      </c>
      <c r="D192" s="27"/>
    </row>
    <row r="193" spans="1:4" x14ac:dyDescent="0.35">
      <c r="A193" s="11">
        <v>43224</v>
      </c>
      <c r="B193" s="9">
        <v>2</v>
      </c>
      <c r="C193" s="6" t="str">
        <f>INDEX(Instrument_Type, MATCH(B193,Position_ID,0),0)</f>
        <v>Bond</v>
      </c>
      <c r="D193" s="27"/>
    </row>
    <row r="194" spans="1:4" x14ac:dyDescent="0.35">
      <c r="A194" s="11">
        <v>43227</v>
      </c>
      <c r="B194" s="9">
        <v>2</v>
      </c>
      <c r="C194" s="6" t="str">
        <f>INDEX(Instrument_Type, MATCH(B194,Position_ID,0),0)</f>
        <v>Bond</v>
      </c>
      <c r="D194" s="27"/>
    </row>
    <row r="195" spans="1:4" x14ac:dyDescent="0.35">
      <c r="A195" s="11">
        <v>43228</v>
      </c>
      <c r="B195" s="9">
        <v>2</v>
      </c>
      <c r="C195" s="6" t="str">
        <f>INDEX(Instrument_Type, MATCH(B195,Position_ID,0),0)</f>
        <v>Bond</v>
      </c>
      <c r="D195" s="27"/>
    </row>
    <row r="196" spans="1:4" x14ac:dyDescent="0.35">
      <c r="A196" s="11">
        <v>43229</v>
      </c>
      <c r="B196" s="9">
        <v>2</v>
      </c>
      <c r="C196" s="6" t="str">
        <f>INDEX(Instrument_Type, MATCH(B196,Position_ID,0),0)</f>
        <v>Bond</v>
      </c>
      <c r="D196" s="27"/>
    </row>
    <row r="197" spans="1:4" x14ac:dyDescent="0.35">
      <c r="A197" s="11">
        <v>43230</v>
      </c>
      <c r="B197" s="9">
        <v>2</v>
      </c>
      <c r="C197" s="6" t="str">
        <f>INDEX(Instrument_Type, MATCH(B197,Position_ID,0),0)</f>
        <v>Bond</v>
      </c>
      <c r="D197" s="27"/>
    </row>
    <row r="198" spans="1:4" x14ac:dyDescent="0.35">
      <c r="A198" s="11">
        <v>43231</v>
      </c>
      <c r="B198" s="9">
        <v>2</v>
      </c>
      <c r="C198" s="6" t="str">
        <f>INDEX(Instrument_Type, MATCH(B198,Position_ID,0),0)</f>
        <v>Bond</v>
      </c>
      <c r="D198" s="27"/>
    </row>
    <row r="199" spans="1:4" x14ac:dyDescent="0.35">
      <c r="A199" s="11">
        <v>43234</v>
      </c>
      <c r="B199" s="9">
        <v>2</v>
      </c>
      <c r="C199" s="6" t="str">
        <f>INDEX(Instrument_Type, MATCH(B199,Position_ID,0),0)</f>
        <v>Bond</v>
      </c>
      <c r="D199" s="27"/>
    </row>
    <row r="200" spans="1:4" x14ac:dyDescent="0.35">
      <c r="A200" s="11">
        <v>43235</v>
      </c>
      <c r="B200" s="9">
        <v>2</v>
      </c>
      <c r="C200" s="6" t="str">
        <f>INDEX(Instrument_Type, MATCH(B200,Position_ID,0),0)</f>
        <v>Bond</v>
      </c>
      <c r="D200" s="27"/>
    </row>
    <row r="201" spans="1:4" x14ac:dyDescent="0.35">
      <c r="A201" s="11">
        <v>43236</v>
      </c>
      <c r="B201" s="9">
        <v>3</v>
      </c>
      <c r="C201" s="6" t="str">
        <f>INDEX(Instrument_Type, MATCH(B201,Position_ID,0),0)</f>
        <v>Floater</v>
      </c>
      <c r="D201" s="27"/>
    </row>
    <row r="202" spans="1:4" x14ac:dyDescent="0.35">
      <c r="A202" s="11">
        <v>43097</v>
      </c>
      <c r="B202" s="9">
        <v>3</v>
      </c>
      <c r="C202" s="6" t="str">
        <f>INDEX(Instrument_Type, MATCH(B202,Position_ID,0),0)</f>
        <v>Floater</v>
      </c>
      <c r="D202" s="27"/>
    </row>
    <row r="203" spans="1:4" x14ac:dyDescent="0.35">
      <c r="A203" s="11">
        <v>43098</v>
      </c>
      <c r="B203" s="9">
        <v>3</v>
      </c>
      <c r="C203" s="6" t="str">
        <f>INDEX(Instrument_Type, MATCH(B203,Position_ID,0),0)</f>
        <v>Floater</v>
      </c>
      <c r="D203" s="27"/>
    </row>
    <row r="204" spans="1:4" x14ac:dyDescent="0.35">
      <c r="A204" s="11">
        <v>43101</v>
      </c>
      <c r="B204" s="9">
        <v>3</v>
      </c>
      <c r="C204" s="6" t="str">
        <f>INDEX(Instrument_Type, MATCH(B204,Position_ID,0),0)</f>
        <v>Floater</v>
      </c>
      <c r="D204" s="27"/>
    </row>
    <row r="205" spans="1:4" x14ac:dyDescent="0.35">
      <c r="A205" s="11">
        <v>43102</v>
      </c>
      <c r="B205" s="9">
        <v>3</v>
      </c>
      <c r="C205" s="6" t="str">
        <f>INDEX(Instrument_Type, MATCH(B205,Position_ID,0),0)</f>
        <v>Floater</v>
      </c>
      <c r="D205" s="27"/>
    </row>
    <row r="206" spans="1:4" x14ac:dyDescent="0.35">
      <c r="A206" s="11">
        <v>43103</v>
      </c>
      <c r="B206" s="9">
        <v>3</v>
      </c>
      <c r="C206" s="6" t="str">
        <f>INDEX(Instrument_Type, MATCH(B206,Position_ID,0),0)</f>
        <v>Floater</v>
      </c>
      <c r="D206" s="27"/>
    </row>
    <row r="207" spans="1:4" x14ac:dyDescent="0.35">
      <c r="A207" s="11">
        <v>43104</v>
      </c>
      <c r="B207" s="9">
        <v>3</v>
      </c>
      <c r="C207" s="6" t="str">
        <f>INDEX(Instrument_Type, MATCH(B207,Position_ID,0),0)</f>
        <v>Floater</v>
      </c>
      <c r="D207" s="27"/>
    </row>
    <row r="208" spans="1:4" x14ac:dyDescent="0.35">
      <c r="A208" s="11">
        <v>43105</v>
      </c>
      <c r="B208" s="9">
        <v>3</v>
      </c>
      <c r="C208" s="6" t="str">
        <f>INDEX(Instrument_Type, MATCH(B208,Position_ID,0),0)</f>
        <v>Floater</v>
      </c>
      <c r="D208" s="27"/>
    </row>
    <row r="209" spans="1:4" x14ac:dyDescent="0.35">
      <c r="A209" s="11">
        <v>43108</v>
      </c>
      <c r="B209" s="9">
        <v>3</v>
      </c>
      <c r="C209" s="6" t="str">
        <f>INDEX(Instrument_Type, MATCH(B209,Position_ID,0),0)</f>
        <v>Floater</v>
      </c>
      <c r="D209" s="27"/>
    </row>
    <row r="210" spans="1:4" x14ac:dyDescent="0.35">
      <c r="A210" s="11">
        <v>43109</v>
      </c>
      <c r="B210" s="9">
        <v>3</v>
      </c>
      <c r="C210" s="6" t="str">
        <f>INDEX(Instrument_Type, MATCH(B210,Position_ID,0),0)</f>
        <v>Floater</v>
      </c>
      <c r="D210" s="27"/>
    </row>
    <row r="211" spans="1:4" x14ac:dyDescent="0.35">
      <c r="A211" s="11">
        <v>43110</v>
      </c>
      <c r="B211" s="9">
        <v>3</v>
      </c>
      <c r="C211" s="6" t="str">
        <f>INDEX(Instrument_Type, MATCH(B211,Position_ID,0),0)</f>
        <v>Floater</v>
      </c>
      <c r="D211" s="27"/>
    </row>
    <row r="212" spans="1:4" x14ac:dyDescent="0.35">
      <c r="A212" s="11">
        <v>43111</v>
      </c>
      <c r="B212" s="9">
        <v>3</v>
      </c>
      <c r="C212" s="6" t="str">
        <f>INDEX(Instrument_Type, MATCH(B212,Position_ID,0),0)</f>
        <v>Floater</v>
      </c>
      <c r="D212" s="27"/>
    </row>
    <row r="213" spans="1:4" x14ac:dyDescent="0.35">
      <c r="A213" s="11">
        <v>43112</v>
      </c>
      <c r="B213" s="9">
        <v>3</v>
      </c>
      <c r="C213" s="6" t="str">
        <f>INDEX(Instrument_Type, MATCH(B213,Position_ID,0),0)</f>
        <v>Floater</v>
      </c>
      <c r="D213" s="27"/>
    </row>
    <row r="214" spans="1:4" x14ac:dyDescent="0.35">
      <c r="A214" s="11">
        <v>43115</v>
      </c>
      <c r="B214" s="9">
        <v>3</v>
      </c>
      <c r="C214" s="6" t="str">
        <f>INDEX(Instrument_Type, MATCH(B214,Position_ID,0),0)</f>
        <v>Floater</v>
      </c>
      <c r="D214" s="27"/>
    </row>
    <row r="215" spans="1:4" x14ac:dyDescent="0.35">
      <c r="A215" s="11">
        <v>43116</v>
      </c>
      <c r="B215" s="9">
        <v>3</v>
      </c>
      <c r="C215" s="6" t="str">
        <f>INDEX(Instrument_Type, MATCH(B215,Position_ID,0),0)</f>
        <v>Floater</v>
      </c>
      <c r="D215" s="27"/>
    </row>
    <row r="216" spans="1:4" x14ac:dyDescent="0.35">
      <c r="A216" s="11">
        <v>43117</v>
      </c>
      <c r="B216" s="9">
        <v>3</v>
      </c>
      <c r="C216" s="6" t="str">
        <f>INDEX(Instrument_Type, MATCH(B216,Position_ID,0),0)</f>
        <v>Floater</v>
      </c>
      <c r="D216" s="27"/>
    </row>
    <row r="217" spans="1:4" x14ac:dyDescent="0.35">
      <c r="A217" s="11">
        <v>43118</v>
      </c>
      <c r="B217" s="9">
        <v>3</v>
      </c>
      <c r="C217" s="6" t="str">
        <f>INDEX(Instrument_Type, MATCH(B217,Position_ID,0),0)</f>
        <v>Floater</v>
      </c>
      <c r="D217" s="27"/>
    </row>
    <row r="218" spans="1:4" x14ac:dyDescent="0.35">
      <c r="A218" s="11">
        <v>43119</v>
      </c>
      <c r="B218" s="9">
        <v>3</v>
      </c>
      <c r="C218" s="6" t="str">
        <f>INDEX(Instrument_Type, MATCH(B218,Position_ID,0),0)</f>
        <v>Floater</v>
      </c>
      <c r="D218" s="27"/>
    </row>
    <row r="219" spans="1:4" x14ac:dyDescent="0.35">
      <c r="A219" s="11">
        <v>43122</v>
      </c>
      <c r="B219" s="9">
        <v>3</v>
      </c>
      <c r="C219" s="6" t="str">
        <f>INDEX(Instrument_Type, MATCH(B219,Position_ID,0),0)</f>
        <v>Floater</v>
      </c>
      <c r="D219" s="27"/>
    </row>
    <row r="220" spans="1:4" x14ac:dyDescent="0.35">
      <c r="A220" s="11">
        <v>43123</v>
      </c>
      <c r="B220" s="9">
        <v>3</v>
      </c>
      <c r="C220" s="6" t="str">
        <f>INDEX(Instrument_Type, MATCH(B220,Position_ID,0),0)</f>
        <v>Floater</v>
      </c>
      <c r="D220" s="27"/>
    </row>
    <row r="221" spans="1:4" x14ac:dyDescent="0.35">
      <c r="A221" s="11">
        <v>43124</v>
      </c>
      <c r="B221" s="9">
        <v>3</v>
      </c>
      <c r="C221" s="6" t="str">
        <f>INDEX(Instrument_Type, MATCH(B221,Position_ID,0),0)</f>
        <v>Floater</v>
      </c>
      <c r="D221" s="27"/>
    </row>
    <row r="222" spans="1:4" x14ac:dyDescent="0.35">
      <c r="A222" s="11">
        <v>43125</v>
      </c>
      <c r="B222" s="9">
        <v>3</v>
      </c>
      <c r="C222" s="6" t="str">
        <f>INDEX(Instrument_Type, MATCH(B222,Position_ID,0),0)</f>
        <v>Floater</v>
      </c>
      <c r="D222" s="27"/>
    </row>
    <row r="223" spans="1:4" x14ac:dyDescent="0.35">
      <c r="A223" s="11">
        <v>43126</v>
      </c>
      <c r="B223" s="9">
        <v>3</v>
      </c>
      <c r="C223" s="6" t="str">
        <f>INDEX(Instrument_Type, MATCH(B223,Position_ID,0),0)</f>
        <v>Floater</v>
      </c>
      <c r="D223" s="27"/>
    </row>
    <row r="224" spans="1:4" x14ac:dyDescent="0.35">
      <c r="A224" s="11">
        <v>43129</v>
      </c>
      <c r="B224" s="9">
        <v>3</v>
      </c>
      <c r="C224" s="6" t="str">
        <f>INDEX(Instrument_Type, MATCH(B224,Position_ID,0),0)</f>
        <v>Floater</v>
      </c>
      <c r="D224" s="27"/>
    </row>
    <row r="225" spans="1:4" x14ac:dyDescent="0.35">
      <c r="A225" s="11">
        <v>43130</v>
      </c>
      <c r="B225" s="9">
        <v>3</v>
      </c>
      <c r="C225" s="6" t="str">
        <f>INDEX(Instrument_Type, MATCH(B225,Position_ID,0),0)</f>
        <v>Floater</v>
      </c>
      <c r="D225" s="27"/>
    </row>
    <row r="226" spans="1:4" x14ac:dyDescent="0.35">
      <c r="A226" s="11">
        <v>43131</v>
      </c>
      <c r="B226" s="9">
        <v>3</v>
      </c>
      <c r="C226" s="6" t="str">
        <f>INDEX(Instrument_Type, MATCH(B226,Position_ID,0),0)</f>
        <v>Floater</v>
      </c>
      <c r="D226" s="27"/>
    </row>
    <row r="227" spans="1:4" x14ac:dyDescent="0.35">
      <c r="A227" s="11">
        <v>43132</v>
      </c>
      <c r="B227" s="9">
        <v>3</v>
      </c>
      <c r="C227" s="6" t="str">
        <f>INDEX(Instrument_Type, MATCH(B227,Position_ID,0),0)</f>
        <v>Floater</v>
      </c>
      <c r="D227" s="27"/>
    </row>
    <row r="228" spans="1:4" x14ac:dyDescent="0.35">
      <c r="A228" s="11">
        <v>43133</v>
      </c>
      <c r="B228" s="9">
        <v>3</v>
      </c>
      <c r="C228" s="6" t="str">
        <f>INDEX(Instrument_Type, MATCH(B228,Position_ID,0),0)</f>
        <v>Floater</v>
      </c>
      <c r="D228" s="27"/>
    </row>
    <row r="229" spans="1:4" x14ac:dyDescent="0.35">
      <c r="A229" s="11">
        <v>43136</v>
      </c>
      <c r="B229" s="9">
        <v>3</v>
      </c>
      <c r="C229" s="6" t="str">
        <f>INDEX(Instrument_Type, MATCH(B229,Position_ID,0),0)</f>
        <v>Floater</v>
      </c>
      <c r="D229" s="27"/>
    </row>
    <row r="230" spans="1:4" x14ac:dyDescent="0.35">
      <c r="A230" s="11">
        <v>43137</v>
      </c>
      <c r="B230" s="9">
        <v>3</v>
      </c>
      <c r="C230" s="6" t="str">
        <f>INDEX(Instrument_Type, MATCH(B230,Position_ID,0),0)</f>
        <v>Floater</v>
      </c>
      <c r="D230" s="27"/>
    </row>
    <row r="231" spans="1:4" x14ac:dyDescent="0.35">
      <c r="A231" s="11">
        <v>43138</v>
      </c>
      <c r="B231" s="9">
        <v>3</v>
      </c>
      <c r="C231" s="6" t="str">
        <f>INDEX(Instrument_Type, MATCH(B231,Position_ID,0),0)</f>
        <v>Floater</v>
      </c>
      <c r="D231" s="27"/>
    </row>
    <row r="232" spans="1:4" x14ac:dyDescent="0.35">
      <c r="A232" s="11">
        <v>43139</v>
      </c>
      <c r="B232" s="9">
        <v>3</v>
      </c>
      <c r="C232" s="6" t="str">
        <f>INDEX(Instrument_Type, MATCH(B232,Position_ID,0),0)</f>
        <v>Floater</v>
      </c>
      <c r="D232" s="27"/>
    </row>
    <row r="233" spans="1:4" x14ac:dyDescent="0.35">
      <c r="A233" s="11">
        <v>43140</v>
      </c>
      <c r="B233" s="9">
        <v>3</v>
      </c>
      <c r="C233" s="6" t="str">
        <f>INDEX(Instrument_Type, MATCH(B233,Position_ID,0),0)</f>
        <v>Floater</v>
      </c>
      <c r="D233" s="27"/>
    </row>
    <row r="234" spans="1:4" x14ac:dyDescent="0.35">
      <c r="A234" s="11">
        <v>43143</v>
      </c>
      <c r="B234" s="9">
        <v>3</v>
      </c>
      <c r="C234" s="6" t="str">
        <f>INDEX(Instrument_Type, MATCH(B234,Position_ID,0),0)</f>
        <v>Floater</v>
      </c>
      <c r="D234" s="27"/>
    </row>
    <row r="235" spans="1:4" x14ac:dyDescent="0.35">
      <c r="A235" s="11">
        <v>43144</v>
      </c>
      <c r="B235" s="9">
        <v>3</v>
      </c>
      <c r="C235" s="6" t="str">
        <f>INDEX(Instrument_Type, MATCH(B235,Position_ID,0),0)</f>
        <v>Floater</v>
      </c>
      <c r="D235" s="27"/>
    </row>
    <row r="236" spans="1:4" x14ac:dyDescent="0.35">
      <c r="A236" s="11">
        <v>43145</v>
      </c>
      <c r="B236" s="9">
        <v>3</v>
      </c>
      <c r="C236" s="6" t="str">
        <f>INDEX(Instrument_Type, MATCH(B236,Position_ID,0),0)</f>
        <v>Floater</v>
      </c>
      <c r="D236" s="27"/>
    </row>
    <row r="237" spans="1:4" x14ac:dyDescent="0.35">
      <c r="A237" s="11">
        <v>43146</v>
      </c>
      <c r="B237" s="9">
        <v>3</v>
      </c>
      <c r="C237" s="6" t="str">
        <f>INDEX(Instrument_Type, MATCH(B237,Position_ID,0),0)</f>
        <v>Floater</v>
      </c>
      <c r="D237" s="27"/>
    </row>
    <row r="238" spans="1:4" x14ac:dyDescent="0.35">
      <c r="A238" s="11">
        <v>43147</v>
      </c>
      <c r="B238" s="9">
        <v>3</v>
      </c>
      <c r="C238" s="6" t="str">
        <f>INDEX(Instrument_Type, MATCH(B238,Position_ID,0),0)</f>
        <v>Floater</v>
      </c>
      <c r="D238" s="27"/>
    </row>
    <row r="239" spans="1:4" x14ac:dyDescent="0.35">
      <c r="A239" s="11">
        <v>43150</v>
      </c>
      <c r="B239" s="9">
        <v>3</v>
      </c>
      <c r="C239" s="6" t="str">
        <f>INDEX(Instrument_Type, MATCH(B239,Position_ID,0),0)</f>
        <v>Floater</v>
      </c>
      <c r="D239" s="27"/>
    </row>
    <row r="240" spans="1:4" x14ac:dyDescent="0.35">
      <c r="A240" s="11">
        <v>43151</v>
      </c>
      <c r="B240" s="9">
        <v>3</v>
      </c>
      <c r="C240" s="6" t="str">
        <f>INDEX(Instrument_Type, MATCH(B240,Position_ID,0),0)</f>
        <v>Floater</v>
      </c>
      <c r="D240" s="27"/>
    </row>
    <row r="241" spans="1:4" x14ac:dyDescent="0.35">
      <c r="A241" s="11">
        <v>43152</v>
      </c>
      <c r="B241" s="9">
        <v>3</v>
      </c>
      <c r="C241" s="6" t="str">
        <f>INDEX(Instrument_Type, MATCH(B241,Position_ID,0),0)</f>
        <v>Floater</v>
      </c>
      <c r="D241" s="27"/>
    </row>
    <row r="242" spans="1:4" x14ac:dyDescent="0.35">
      <c r="A242" s="11">
        <v>43153</v>
      </c>
      <c r="B242" s="9">
        <v>3</v>
      </c>
      <c r="C242" s="6" t="str">
        <f>INDEX(Instrument_Type, MATCH(B242,Position_ID,0),0)</f>
        <v>Floater</v>
      </c>
      <c r="D242" s="27"/>
    </row>
    <row r="243" spans="1:4" x14ac:dyDescent="0.35">
      <c r="A243" s="11">
        <v>43154</v>
      </c>
      <c r="B243" s="9">
        <v>3</v>
      </c>
      <c r="C243" s="6" t="str">
        <f>INDEX(Instrument_Type, MATCH(B243,Position_ID,0),0)</f>
        <v>Floater</v>
      </c>
      <c r="D243" s="27"/>
    </row>
    <row r="244" spans="1:4" x14ac:dyDescent="0.35">
      <c r="A244" s="11">
        <v>43157</v>
      </c>
      <c r="B244" s="9">
        <v>3</v>
      </c>
      <c r="C244" s="6" t="str">
        <f>INDEX(Instrument_Type, MATCH(B244,Position_ID,0),0)</f>
        <v>Floater</v>
      </c>
      <c r="D244" s="27"/>
    </row>
    <row r="245" spans="1:4" x14ac:dyDescent="0.35">
      <c r="A245" s="11">
        <v>43158</v>
      </c>
      <c r="B245" s="9">
        <v>3</v>
      </c>
      <c r="C245" s="6" t="str">
        <f>INDEX(Instrument_Type, MATCH(B245,Position_ID,0),0)</f>
        <v>Floater</v>
      </c>
      <c r="D245" s="27"/>
    </row>
    <row r="246" spans="1:4" x14ac:dyDescent="0.35">
      <c r="A246" s="11">
        <v>43159</v>
      </c>
      <c r="B246" s="9">
        <v>3</v>
      </c>
      <c r="C246" s="6" t="str">
        <f>INDEX(Instrument_Type, MATCH(B246,Position_ID,0),0)</f>
        <v>Floater</v>
      </c>
      <c r="D246" s="27"/>
    </row>
    <row r="247" spans="1:4" x14ac:dyDescent="0.35">
      <c r="A247" s="11">
        <v>43160</v>
      </c>
      <c r="B247" s="9">
        <v>3</v>
      </c>
      <c r="C247" s="6" t="str">
        <f>INDEX(Instrument_Type, MATCH(B247,Position_ID,0),0)</f>
        <v>Floater</v>
      </c>
      <c r="D247" s="27"/>
    </row>
    <row r="248" spans="1:4" x14ac:dyDescent="0.35">
      <c r="A248" s="11">
        <v>43161</v>
      </c>
      <c r="B248" s="9">
        <v>3</v>
      </c>
      <c r="C248" s="6" t="str">
        <f>INDEX(Instrument_Type, MATCH(B248,Position_ID,0),0)</f>
        <v>Floater</v>
      </c>
      <c r="D248" s="27"/>
    </row>
    <row r="249" spans="1:4" x14ac:dyDescent="0.35">
      <c r="A249" s="11">
        <v>43164</v>
      </c>
      <c r="B249" s="9">
        <v>3</v>
      </c>
      <c r="C249" s="6" t="str">
        <f>INDEX(Instrument_Type, MATCH(B249,Position_ID,0),0)</f>
        <v>Floater</v>
      </c>
      <c r="D249" s="27"/>
    </row>
    <row r="250" spans="1:4" x14ac:dyDescent="0.35">
      <c r="A250" s="11">
        <v>43165</v>
      </c>
      <c r="B250" s="9">
        <v>3</v>
      </c>
      <c r="C250" s="6" t="str">
        <f>INDEX(Instrument_Type, MATCH(B250,Position_ID,0),0)</f>
        <v>Floater</v>
      </c>
      <c r="D250" s="27"/>
    </row>
    <row r="251" spans="1:4" x14ac:dyDescent="0.35">
      <c r="A251" s="11">
        <v>43166</v>
      </c>
      <c r="B251" s="9">
        <v>3</v>
      </c>
      <c r="C251" s="6" t="str">
        <f>INDEX(Instrument_Type, MATCH(B251,Position_ID,0),0)</f>
        <v>Floater</v>
      </c>
      <c r="D251" s="27"/>
    </row>
    <row r="252" spans="1:4" x14ac:dyDescent="0.35">
      <c r="A252" s="11">
        <v>43167</v>
      </c>
      <c r="B252" s="9">
        <v>3</v>
      </c>
      <c r="C252" s="6" t="str">
        <f>INDEX(Instrument_Type, MATCH(B252,Position_ID,0),0)</f>
        <v>Floater</v>
      </c>
      <c r="D252" s="27"/>
    </row>
    <row r="253" spans="1:4" x14ac:dyDescent="0.35">
      <c r="A253" s="11">
        <v>43168</v>
      </c>
      <c r="B253" s="9">
        <v>3</v>
      </c>
      <c r="C253" s="6" t="str">
        <f>INDEX(Instrument_Type, MATCH(B253,Position_ID,0),0)</f>
        <v>Floater</v>
      </c>
      <c r="D253" s="27"/>
    </row>
    <row r="254" spans="1:4" x14ac:dyDescent="0.35">
      <c r="A254" s="11">
        <v>43171</v>
      </c>
      <c r="B254" s="9">
        <v>3</v>
      </c>
      <c r="C254" s="6" t="str">
        <f>INDEX(Instrument_Type, MATCH(B254,Position_ID,0),0)</f>
        <v>Floater</v>
      </c>
      <c r="D254" s="27"/>
    </row>
    <row r="255" spans="1:4" x14ac:dyDescent="0.35">
      <c r="A255" s="11">
        <v>43172</v>
      </c>
      <c r="B255" s="9">
        <v>3</v>
      </c>
      <c r="C255" s="6" t="str">
        <f>INDEX(Instrument_Type, MATCH(B255,Position_ID,0),0)</f>
        <v>Floater</v>
      </c>
      <c r="D255" s="27"/>
    </row>
    <row r="256" spans="1:4" x14ac:dyDescent="0.35">
      <c r="A256" s="11">
        <v>43173</v>
      </c>
      <c r="B256" s="9">
        <v>3</v>
      </c>
      <c r="C256" s="6" t="str">
        <f>INDEX(Instrument_Type, MATCH(B256,Position_ID,0),0)</f>
        <v>Floater</v>
      </c>
      <c r="D256" s="27"/>
    </row>
    <row r="257" spans="1:4" x14ac:dyDescent="0.35">
      <c r="A257" s="11">
        <v>43174</v>
      </c>
      <c r="B257" s="9">
        <v>3</v>
      </c>
      <c r="C257" s="6" t="str">
        <f>INDEX(Instrument_Type, MATCH(B257,Position_ID,0),0)</f>
        <v>Floater</v>
      </c>
      <c r="D257" s="27"/>
    </row>
    <row r="258" spans="1:4" x14ac:dyDescent="0.35">
      <c r="A258" s="11">
        <v>43175</v>
      </c>
      <c r="B258" s="9">
        <v>3</v>
      </c>
      <c r="C258" s="6" t="str">
        <f>INDEX(Instrument_Type, MATCH(B258,Position_ID,0),0)</f>
        <v>Floater</v>
      </c>
      <c r="D258" s="27"/>
    </row>
    <row r="259" spans="1:4" x14ac:dyDescent="0.35">
      <c r="A259" s="11">
        <v>43178</v>
      </c>
      <c r="B259" s="9">
        <v>3</v>
      </c>
      <c r="C259" s="6" t="str">
        <f>INDEX(Instrument_Type, MATCH(B259,Position_ID,0),0)</f>
        <v>Floater</v>
      </c>
      <c r="D259" s="27"/>
    </row>
    <row r="260" spans="1:4" x14ac:dyDescent="0.35">
      <c r="A260" s="11">
        <v>43179</v>
      </c>
      <c r="B260" s="9">
        <v>3</v>
      </c>
      <c r="C260" s="6" t="str">
        <f>INDEX(Instrument_Type, MATCH(B260,Position_ID,0),0)</f>
        <v>Floater</v>
      </c>
      <c r="D260" s="27"/>
    </row>
    <row r="261" spans="1:4" x14ac:dyDescent="0.35">
      <c r="A261" s="11">
        <v>43180</v>
      </c>
      <c r="B261" s="9">
        <v>3</v>
      </c>
      <c r="C261" s="6" t="str">
        <f>INDEX(Instrument_Type, MATCH(B261,Position_ID,0),0)</f>
        <v>Floater</v>
      </c>
      <c r="D261" s="27"/>
    </row>
    <row r="262" spans="1:4" x14ac:dyDescent="0.35">
      <c r="A262" s="11">
        <v>43181</v>
      </c>
      <c r="B262" s="9">
        <v>3</v>
      </c>
      <c r="C262" s="6" t="str">
        <f>INDEX(Instrument_Type, MATCH(B262,Position_ID,0),0)</f>
        <v>Floater</v>
      </c>
      <c r="D262" s="27"/>
    </row>
    <row r="263" spans="1:4" x14ac:dyDescent="0.35">
      <c r="A263" s="11">
        <v>43182</v>
      </c>
      <c r="B263" s="9">
        <v>3</v>
      </c>
      <c r="C263" s="6" t="str">
        <f>INDEX(Instrument_Type, MATCH(B263,Position_ID,0),0)</f>
        <v>Floater</v>
      </c>
      <c r="D263" s="27"/>
    </row>
    <row r="264" spans="1:4" x14ac:dyDescent="0.35">
      <c r="A264" s="11">
        <v>43185</v>
      </c>
      <c r="B264" s="9">
        <v>3</v>
      </c>
      <c r="C264" s="6" t="str">
        <f>INDEX(Instrument_Type, MATCH(B264,Position_ID,0),0)</f>
        <v>Floater</v>
      </c>
      <c r="D264" s="27"/>
    </row>
    <row r="265" spans="1:4" x14ac:dyDescent="0.35">
      <c r="A265" s="11">
        <v>43186</v>
      </c>
      <c r="B265" s="9">
        <v>3</v>
      </c>
      <c r="C265" s="6" t="str">
        <f>INDEX(Instrument_Type, MATCH(B265,Position_ID,0),0)</f>
        <v>Floater</v>
      </c>
      <c r="D265" s="27"/>
    </row>
    <row r="266" spans="1:4" x14ac:dyDescent="0.35">
      <c r="A266" s="11">
        <v>43187</v>
      </c>
      <c r="B266" s="9">
        <v>3</v>
      </c>
      <c r="C266" s="6" t="str">
        <f>INDEX(Instrument_Type, MATCH(B266,Position_ID,0),0)</f>
        <v>Floater</v>
      </c>
      <c r="D266" s="27"/>
    </row>
    <row r="267" spans="1:4" x14ac:dyDescent="0.35">
      <c r="A267" s="11">
        <v>43188</v>
      </c>
      <c r="B267" s="9">
        <v>3</v>
      </c>
      <c r="C267" s="6" t="str">
        <f>INDEX(Instrument_Type, MATCH(B267,Position_ID,0),0)</f>
        <v>Floater</v>
      </c>
      <c r="D267" s="27"/>
    </row>
    <row r="268" spans="1:4" x14ac:dyDescent="0.35">
      <c r="A268" s="11">
        <v>43189</v>
      </c>
      <c r="B268" s="9">
        <v>3</v>
      </c>
      <c r="C268" s="6" t="str">
        <f>INDEX(Instrument_Type, MATCH(B268,Position_ID,0),0)</f>
        <v>Floater</v>
      </c>
      <c r="D268" s="27"/>
    </row>
    <row r="269" spans="1:4" x14ac:dyDescent="0.35">
      <c r="A269" s="11">
        <v>43192</v>
      </c>
      <c r="B269" s="9">
        <v>3</v>
      </c>
      <c r="C269" s="6" t="str">
        <f>INDEX(Instrument_Type, MATCH(B269,Position_ID,0),0)</f>
        <v>Floater</v>
      </c>
      <c r="D269" s="27"/>
    </row>
    <row r="270" spans="1:4" x14ac:dyDescent="0.35">
      <c r="A270" s="11">
        <v>43193</v>
      </c>
      <c r="B270" s="9">
        <v>3</v>
      </c>
      <c r="C270" s="6" t="str">
        <f>INDEX(Instrument_Type, MATCH(B270,Position_ID,0),0)</f>
        <v>Floater</v>
      </c>
      <c r="D270" s="27"/>
    </row>
    <row r="271" spans="1:4" x14ac:dyDescent="0.35">
      <c r="A271" s="11">
        <v>43194</v>
      </c>
      <c r="B271" s="9">
        <v>3</v>
      </c>
      <c r="C271" s="6" t="str">
        <f>INDEX(Instrument_Type, MATCH(B271,Position_ID,0),0)</f>
        <v>Floater</v>
      </c>
      <c r="D271" s="27"/>
    </row>
    <row r="272" spans="1:4" x14ac:dyDescent="0.35">
      <c r="A272" s="11">
        <v>43195</v>
      </c>
      <c r="B272" s="9">
        <v>3</v>
      </c>
      <c r="C272" s="6" t="str">
        <f>INDEX(Instrument_Type, MATCH(B272,Position_ID,0),0)</f>
        <v>Floater</v>
      </c>
      <c r="D272" s="27"/>
    </row>
    <row r="273" spans="1:4" x14ac:dyDescent="0.35">
      <c r="A273" s="11">
        <v>43196</v>
      </c>
      <c r="B273" s="9">
        <v>3</v>
      </c>
      <c r="C273" s="6" t="str">
        <f>INDEX(Instrument_Type, MATCH(B273,Position_ID,0),0)</f>
        <v>Floater</v>
      </c>
      <c r="D273" s="27"/>
    </row>
    <row r="274" spans="1:4" x14ac:dyDescent="0.35">
      <c r="A274" s="11">
        <v>43199</v>
      </c>
      <c r="B274" s="9">
        <v>3</v>
      </c>
      <c r="C274" s="6" t="str">
        <f>INDEX(Instrument_Type, MATCH(B274,Position_ID,0),0)</f>
        <v>Floater</v>
      </c>
      <c r="D274" s="27"/>
    </row>
    <row r="275" spans="1:4" x14ac:dyDescent="0.35">
      <c r="A275" s="11">
        <v>43200</v>
      </c>
      <c r="B275" s="9">
        <v>3</v>
      </c>
      <c r="C275" s="6" t="str">
        <f>INDEX(Instrument_Type, MATCH(B275,Position_ID,0),0)</f>
        <v>Floater</v>
      </c>
      <c r="D275" s="27"/>
    </row>
    <row r="276" spans="1:4" x14ac:dyDescent="0.35">
      <c r="A276" s="11">
        <v>43201</v>
      </c>
      <c r="B276" s="9">
        <v>3</v>
      </c>
      <c r="C276" s="6" t="str">
        <f>INDEX(Instrument_Type, MATCH(B276,Position_ID,0),0)</f>
        <v>Floater</v>
      </c>
      <c r="D276" s="27"/>
    </row>
    <row r="277" spans="1:4" x14ac:dyDescent="0.35">
      <c r="A277" s="11">
        <v>43202</v>
      </c>
      <c r="B277" s="9">
        <v>3</v>
      </c>
      <c r="C277" s="6" t="str">
        <f>INDEX(Instrument_Type, MATCH(B277,Position_ID,0),0)</f>
        <v>Floater</v>
      </c>
      <c r="D277" s="27"/>
    </row>
    <row r="278" spans="1:4" x14ac:dyDescent="0.35">
      <c r="A278" s="11">
        <v>43203</v>
      </c>
      <c r="B278" s="9">
        <v>3</v>
      </c>
      <c r="C278" s="6" t="str">
        <f>INDEX(Instrument_Type, MATCH(B278,Position_ID,0),0)</f>
        <v>Floater</v>
      </c>
      <c r="D278" s="27"/>
    </row>
    <row r="279" spans="1:4" x14ac:dyDescent="0.35">
      <c r="A279" s="11">
        <v>43206</v>
      </c>
      <c r="B279" s="9">
        <v>3</v>
      </c>
      <c r="C279" s="6" t="str">
        <f>INDEX(Instrument_Type, MATCH(B279,Position_ID,0),0)</f>
        <v>Floater</v>
      </c>
      <c r="D279" s="27"/>
    </row>
    <row r="280" spans="1:4" x14ac:dyDescent="0.35">
      <c r="A280" s="11">
        <v>43207</v>
      </c>
      <c r="B280" s="9">
        <v>3</v>
      </c>
      <c r="C280" s="6" t="str">
        <f>INDEX(Instrument_Type, MATCH(B280,Position_ID,0),0)</f>
        <v>Floater</v>
      </c>
      <c r="D280" s="27"/>
    </row>
    <row r="281" spans="1:4" x14ac:dyDescent="0.35">
      <c r="A281" s="11">
        <v>43208</v>
      </c>
      <c r="B281" s="9">
        <v>3</v>
      </c>
      <c r="C281" s="6" t="str">
        <f>INDEX(Instrument_Type, MATCH(B281,Position_ID,0),0)</f>
        <v>Floater</v>
      </c>
      <c r="D281" s="27"/>
    </row>
    <row r="282" spans="1:4" x14ac:dyDescent="0.35">
      <c r="A282" s="11">
        <v>43209</v>
      </c>
      <c r="B282" s="9">
        <v>3</v>
      </c>
      <c r="C282" s="6" t="str">
        <f>INDEX(Instrument_Type, MATCH(B282,Position_ID,0),0)</f>
        <v>Floater</v>
      </c>
      <c r="D282" s="27"/>
    </row>
    <row r="283" spans="1:4" x14ac:dyDescent="0.35">
      <c r="A283" s="11">
        <v>43210</v>
      </c>
      <c r="B283" s="9">
        <v>3</v>
      </c>
      <c r="C283" s="6" t="str">
        <f>INDEX(Instrument_Type, MATCH(B283,Position_ID,0),0)</f>
        <v>Floater</v>
      </c>
      <c r="D283" s="27"/>
    </row>
    <row r="284" spans="1:4" x14ac:dyDescent="0.35">
      <c r="A284" s="11">
        <v>43213</v>
      </c>
      <c r="B284" s="9">
        <v>3</v>
      </c>
      <c r="C284" s="6" t="str">
        <f>INDEX(Instrument_Type, MATCH(B284,Position_ID,0),0)</f>
        <v>Floater</v>
      </c>
      <c r="D284" s="27"/>
    </row>
    <row r="285" spans="1:4" x14ac:dyDescent="0.35">
      <c r="A285" s="11">
        <v>43214</v>
      </c>
      <c r="B285" s="9">
        <v>3</v>
      </c>
      <c r="C285" s="6" t="str">
        <f>INDEX(Instrument_Type, MATCH(B285,Position_ID,0),0)</f>
        <v>Floater</v>
      </c>
      <c r="D285" s="27"/>
    </row>
    <row r="286" spans="1:4" x14ac:dyDescent="0.35">
      <c r="A286" s="11">
        <v>43215</v>
      </c>
      <c r="B286" s="9">
        <v>3</v>
      </c>
      <c r="C286" s="6" t="str">
        <f>INDEX(Instrument_Type, MATCH(B286,Position_ID,0),0)</f>
        <v>Floater</v>
      </c>
      <c r="D286" s="27"/>
    </row>
    <row r="287" spans="1:4" x14ac:dyDescent="0.35">
      <c r="A287" s="11">
        <v>43216</v>
      </c>
      <c r="B287" s="9">
        <v>3</v>
      </c>
      <c r="C287" s="6" t="str">
        <f>INDEX(Instrument_Type, MATCH(B287,Position_ID,0),0)</f>
        <v>Floater</v>
      </c>
      <c r="D287" s="27"/>
    </row>
    <row r="288" spans="1:4" x14ac:dyDescent="0.35">
      <c r="A288" s="11">
        <v>43217</v>
      </c>
      <c r="B288" s="9">
        <v>3</v>
      </c>
      <c r="C288" s="6" t="str">
        <f>INDEX(Instrument_Type, MATCH(B288,Position_ID,0),0)</f>
        <v>Floater</v>
      </c>
      <c r="D288" s="27"/>
    </row>
    <row r="289" spans="1:4" x14ac:dyDescent="0.35">
      <c r="A289" s="11">
        <v>43220</v>
      </c>
      <c r="B289" s="9">
        <v>3</v>
      </c>
      <c r="C289" s="6" t="str">
        <f>INDEX(Instrument_Type, MATCH(B289,Position_ID,0),0)</f>
        <v>Floater</v>
      </c>
      <c r="D289" s="27"/>
    </row>
    <row r="290" spans="1:4" x14ac:dyDescent="0.35">
      <c r="A290" s="11">
        <v>43221</v>
      </c>
      <c r="B290" s="9">
        <v>3</v>
      </c>
      <c r="C290" s="6" t="str">
        <f>INDEX(Instrument_Type, MATCH(B290,Position_ID,0),0)</f>
        <v>Floater</v>
      </c>
      <c r="D290" s="27"/>
    </row>
    <row r="291" spans="1:4" x14ac:dyDescent="0.35">
      <c r="A291" s="11">
        <v>43222</v>
      </c>
      <c r="B291" s="9">
        <v>3</v>
      </c>
      <c r="C291" s="6" t="str">
        <f>INDEX(Instrument_Type, MATCH(B291,Position_ID,0),0)</f>
        <v>Floater</v>
      </c>
      <c r="D291" s="27"/>
    </row>
    <row r="292" spans="1:4" x14ac:dyDescent="0.35">
      <c r="A292" s="11">
        <v>43223</v>
      </c>
      <c r="B292" s="9">
        <v>3</v>
      </c>
      <c r="C292" s="6" t="str">
        <f>INDEX(Instrument_Type, MATCH(B292,Position_ID,0),0)</f>
        <v>Floater</v>
      </c>
      <c r="D292" s="27"/>
    </row>
    <row r="293" spans="1:4" x14ac:dyDescent="0.35">
      <c r="A293" s="11">
        <v>43224</v>
      </c>
      <c r="B293" s="9">
        <v>3</v>
      </c>
      <c r="C293" s="6" t="str">
        <f>INDEX(Instrument_Type, MATCH(B293,Position_ID,0),0)</f>
        <v>Floater</v>
      </c>
      <c r="D293" s="27"/>
    </row>
    <row r="294" spans="1:4" x14ac:dyDescent="0.35">
      <c r="A294" s="11">
        <v>43227</v>
      </c>
      <c r="B294" s="9">
        <v>3</v>
      </c>
      <c r="C294" s="6" t="str">
        <f>INDEX(Instrument_Type, MATCH(B294,Position_ID,0),0)</f>
        <v>Floater</v>
      </c>
      <c r="D294" s="27"/>
    </row>
    <row r="295" spans="1:4" x14ac:dyDescent="0.35">
      <c r="A295" s="11">
        <v>43228</v>
      </c>
      <c r="B295" s="9">
        <v>3</v>
      </c>
      <c r="C295" s="6" t="str">
        <f>INDEX(Instrument_Type, MATCH(B295,Position_ID,0),0)</f>
        <v>Floater</v>
      </c>
      <c r="D295" s="27"/>
    </row>
    <row r="296" spans="1:4" x14ac:dyDescent="0.35">
      <c r="A296" s="11">
        <v>43229</v>
      </c>
      <c r="B296" s="9">
        <v>3</v>
      </c>
      <c r="C296" s="6" t="str">
        <f>INDEX(Instrument_Type, MATCH(B296,Position_ID,0),0)</f>
        <v>Floater</v>
      </c>
      <c r="D296" s="27"/>
    </row>
    <row r="297" spans="1:4" x14ac:dyDescent="0.35">
      <c r="A297" s="11">
        <v>43230</v>
      </c>
      <c r="B297" s="9">
        <v>3</v>
      </c>
      <c r="C297" s="6" t="str">
        <f>INDEX(Instrument_Type, MATCH(B297,Position_ID,0),0)</f>
        <v>Floater</v>
      </c>
      <c r="D297" s="27"/>
    </row>
    <row r="298" spans="1:4" x14ac:dyDescent="0.35">
      <c r="A298" s="11">
        <v>43231</v>
      </c>
      <c r="B298" s="9">
        <v>3</v>
      </c>
      <c r="C298" s="6" t="str">
        <f>INDEX(Instrument_Type, MATCH(B298,Position_ID,0),0)</f>
        <v>Floater</v>
      </c>
      <c r="D298" s="27"/>
    </row>
    <row r="299" spans="1:4" x14ac:dyDescent="0.35">
      <c r="A299" s="11">
        <v>43234</v>
      </c>
      <c r="B299" s="9">
        <v>3</v>
      </c>
      <c r="C299" s="6" t="str">
        <f>INDEX(Instrument_Type, MATCH(B299,Position_ID,0),0)</f>
        <v>Floater</v>
      </c>
      <c r="D299" s="27"/>
    </row>
    <row r="300" spans="1:4" x14ac:dyDescent="0.35">
      <c r="A300" s="11">
        <v>43235</v>
      </c>
      <c r="B300" s="9">
        <v>3</v>
      </c>
      <c r="C300" s="6" t="str">
        <f>INDEX(Instrument_Type, MATCH(B300,Position_ID,0),0)</f>
        <v>Floater</v>
      </c>
      <c r="D300" s="27"/>
    </row>
    <row r="301" spans="1:4" x14ac:dyDescent="0.35">
      <c r="A301" s="11">
        <v>43236</v>
      </c>
      <c r="B301" s="9">
        <v>4</v>
      </c>
      <c r="C301" s="6" t="str">
        <f>INDEX(Instrument_Type, MATCH(B301,Position_ID,0),0)</f>
        <v>Cash</v>
      </c>
      <c r="D301" s="27"/>
    </row>
    <row r="302" spans="1:4" x14ac:dyDescent="0.35">
      <c r="A302" s="11">
        <v>43097</v>
      </c>
      <c r="B302" s="9">
        <v>4</v>
      </c>
      <c r="C302" s="6" t="str">
        <f>INDEX(Instrument_Type, MATCH(B302,Position_ID,0),0)</f>
        <v>Cash</v>
      </c>
      <c r="D302" s="27"/>
    </row>
    <row r="303" spans="1:4" x14ac:dyDescent="0.35">
      <c r="A303" s="11">
        <v>43098</v>
      </c>
      <c r="B303" s="9">
        <v>4</v>
      </c>
      <c r="C303" s="6" t="str">
        <f>INDEX(Instrument_Type, MATCH(B303,Position_ID,0),0)</f>
        <v>Cash</v>
      </c>
      <c r="D303" s="27"/>
    </row>
    <row r="304" spans="1:4" x14ac:dyDescent="0.35">
      <c r="A304" s="11">
        <v>43101</v>
      </c>
      <c r="B304" s="9">
        <v>4</v>
      </c>
      <c r="C304" s="6" t="str">
        <f>INDEX(Instrument_Type, MATCH(B304,Position_ID,0),0)</f>
        <v>Cash</v>
      </c>
      <c r="D304" s="27"/>
    </row>
    <row r="305" spans="1:4" x14ac:dyDescent="0.35">
      <c r="A305" s="11">
        <v>43102</v>
      </c>
      <c r="B305" s="9">
        <v>4</v>
      </c>
      <c r="C305" s="6" t="str">
        <f>INDEX(Instrument_Type, MATCH(B305,Position_ID,0),0)</f>
        <v>Cash</v>
      </c>
      <c r="D305" s="27"/>
    </row>
    <row r="306" spans="1:4" x14ac:dyDescent="0.35">
      <c r="A306" s="11">
        <v>43103</v>
      </c>
      <c r="B306" s="9">
        <v>4</v>
      </c>
      <c r="C306" s="6" t="str">
        <f>INDEX(Instrument_Type, MATCH(B306,Position_ID,0),0)</f>
        <v>Cash</v>
      </c>
      <c r="D306" s="27"/>
    </row>
    <row r="307" spans="1:4" x14ac:dyDescent="0.35">
      <c r="A307" s="11">
        <v>43104</v>
      </c>
      <c r="B307" s="9">
        <v>4</v>
      </c>
      <c r="C307" s="6" t="str">
        <f>INDEX(Instrument_Type, MATCH(B307,Position_ID,0),0)</f>
        <v>Cash</v>
      </c>
      <c r="D307" s="27"/>
    </row>
    <row r="308" spans="1:4" x14ac:dyDescent="0.35">
      <c r="A308" s="11">
        <v>43105</v>
      </c>
      <c r="B308" s="9">
        <v>4</v>
      </c>
      <c r="C308" s="6" t="str">
        <f>INDEX(Instrument_Type, MATCH(B308,Position_ID,0),0)</f>
        <v>Cash</v>
      </c>
      <c r="D308" s="27"/>
    </row>
    <row r="309" spans="1:4" x14ac:dyDescent="0.35">
      <c r="A309" s="11">
        <v>43108</v>
      </c>
      <c r="B309" s="9">
        <v>4</v>
      </c>
      <c r="C309" s="6" t="str">
        <f>INDEX(Instrument_Type, MATCH(B309,Position_ID,0),0)</f>
        <v>Cash</v>
      </c>
      <c r="D309" s="27"/>
    </row>
    <row r="310" spans="1:4" x14ac:dyDescent="0.35">
      <c r="A310" s="11">
        <v>43109</v>
      </c>
      <c r="B310" s="9">
        <v>4</v>
      </c>
      <c r="C310" s="6" t="str">
        <f>INDEX(Instrument_Type, MATCH(B310,Position_ID,0),0)</f>
        <v>Cash</v>
      </c>
      <c r="D310" s="27"/>
    </row>
    <row r="311" spans="1:4" x14ac:dyDescent="0.35">
      <c r="A311" s="11">
        <v>43110</v>
      </c>
      <c r="B311" s="9">
        <v>4</v>
      </c>
      <c r="C311" s="6" t="str">
        <f>INDEX(Instrument_Type, MATCH(B311,Position_ID,0),0)</f>
        <v>Cash</v>
      </c>
      <c r="D311" s="27"/>
    </row>
    <row r="312" spans="1:4" x14ac:dyDescent="0.35">
      <c r="A312" s="11">
        <v>43111</v>
      </c>
      <c r="B312" s="9">
        <v>4</v>
      </c>
      <c r="C312" s="6" t="str">
        <f>INDEX(Instrument_Type, MATCH(B312,Position_ID,0),0)</f>
        <v>Cash</v>
      </c>
      <c r="D312" s="27"/>
    </row>
    <row r="313" spans="1:4" x14ac:dyDescent="0.35">
      <c r="A313" s="11">
        <v>43112</v>
      </c>
      <c r="B313" s="9">
        <v>4</v>
      </c>
      <c r="C313" s="6" t="str">
        <f>INDEX(Instrument_Type, MATCH(B313,Position_ID,0),0)</f>
        <v>Cash</v>
      </c>
      <c r="D313" s="27"/>
    </row>
    <row r="314" spans="1:4" x14ac:dyDescent="0.35">
      <c r="A314" s="11">
        <v>43115</v>
      </c>
      <c r="B314" s="9">
        <v>4</v>
      </c>
      <c r="C314" s="6" t="str">
        <f>INDEX(Instrument_Type, MATCH(B314,Position_ID,0),0)</f>
        <v>Cash</v>
      </c>
      <c r="D314" s="27"/>
    </row>
    <row r="315" spans="1:4" x14ac:dyDescent="0.35">
      <c r="A315" s="11">
        <v>43116</v>
      </c>
      <c r="B315" s="9">
        <v>4</v>
      </c>
      <c r="C315" s="6" t="str">
        <f>INDEX(Instrument_Type, MATCH(B315,Position_ID,0),0)</f>
        <v>Cash</v>
      </c>
      <c r="D315" s="27"/>
    </row>
    <row r="316" spans="1:4" x14ac:dyDescent="0.35">
      <c r="A316" s="11">
        <v>43117</v>
      </c>
      <c r="B316" s="9">
        <v>4</v>
      </c>
      <c r="C316" s="6" t="str">
        <f>INDEX(Instrument_Type, MATCH(B316,Position_ID,0),0)</f>
        <v>Cash</v>
      </c>
      <c r="D316" s="27"/>
    </row>
    <row r="317" spans="1:4" x14ac:dyDescent="0.35">
      <c r="A317" s="11">
        <v>43118</v>
      </c>
      <c r="B317" s="9">
        <v>4</v>
      </c>
      <c r="C317" s="6" t="str">
        <f>INDEX(Instrument_Type, MATCH(B317,Position_ID,0),0)</f>
        <v>Cash</v>
      </c>
      <c r="D317" s="27"/>
    </row>
    <row r="318" spans="1:4" x14ac:dyDescent="0.35">
      <c r="A318" s="11">
        <v>43119</v>
      </c>
      <c r="B318" s="9">
        <v>4</v>
      </c>
      <c r="C318" s="6" t="str">
        <f>INDEX(Instrument_Type, MATCH(B318,Position_ID,0),0)</f>
        <v>Cash</v>
      </c>
      <c r="D318" s="27"/>
    </row>
    <row r="319" spans="1:4" x14ac:dyDescent="0.35">
      <c r="A319" s="11">
        <v>43122</v>
      </c>
      <c r="B319" s="9">
        <v>4</v>
      </c>
      <c r="C319" s="6" t="str">
        <f>INDEX(Instrument_Type, MATCH(B319,Position_ID,0),0)</f>
        <v>Cash</v>
      </c>
      <c r="D319" s="27"/>
    </row>
    <row r="320" spans="1:4" x14ac:dyDescent="0.35">
      <c r="A320" s="11">
        <v>43123</v>
      </c>
      <c r="B320" s="9">
        <v>4</v>
      </c>
      <c r="C320" s="6" t="str">
        <f>INDEX(Instrument_Type, MATCH(B320,Position_ID,0),0)</f>
        <v>Cash</v>
      </c>
      <c r="D320" s="27"/>
    </row>
    <row r="321" spans="1:4" x14ac:dyDescent="0.35">
      <c r="A321" s="11">
        <v>43124</v>
      </c>
      <c r="B321" s="9">
        <v>4</v>
      </c>
      <c r="C321" s="6" t="str">
        <f>INDEX(Instrument_Type, MATCH(B321,Position_ID,0),0)</f>
        <v>Cash</v>
      </c>
      <c r="D321" s="27"/>
    </row>
    <row r="322" spans="1:4" x14ac:dyDescent="0.35">
      <c r="A322" s="11">
        <v>43125</v>
      </c>
      <c r="B322" s="9">
        <v>4</v>
      </c>
      <c r="C322" s="6" t="str">
        <f>INDEX(Instrument_Type, MATCH(B322,Position_ID,0),0)</f>
        <v>Cash</v>
      </c>
      <c r="D322" s="27"/>
    </row>
    <row r="323" spans="1:4" x14ac:dyDescent="0.35">
      <c r="A323" s="11">
        <v>43126</v>
      </c>
      <c r="B323" s="9">
        <v>4</v>
      </c>
      <c r="C323" s="6" t="str">
        <f>INDEX(Instrument_Type, MATCH(B323,Position_ID,0),0)</f>
        <v>Cash</v>
      </c>
      <c r="D323" s="27"/>
    </row>
    <row r="324" spans="1:4" x14ac:dyDescent="0.35">
      <c r="A324" s="11">
        <v>43129</v>
      </c>
      <c r="B324" s="9">
        <v>4</v>
      </c>
      <c r="C324" s="6" t="str">
        <f>INDEX(Instrument_Type, MATCH(B324,Position_ID,0),0)</f>
        <v>Cash</v>
      </c>
      <c r="D324" s="27"/>
    </row>
    <row r="325" spans="1:4" x14ac:dyDescent="0.35">
      <c r="A325" s="11">
        <v>43130</v>
      </c>
      <c r="B325" s="9">
        <v>4</v>
      </c>
      <c r="C325" s="6" t="str">
        <f>INDEX(Instrument_Type, MATCH(B325,Position_ID,0),0)</f>
        <v>Cash</v>
      </c>
      <c r="D325" s="27"/>
    </row>
    <row r="326" spans="1:4" x14ac:dyDescent="0.35">
      <c r="A326" s="11">
        <v>43131</v>
      </c>
      <c r="B326" s="9">
        <v>4</v>
      </c>
      <c r="C326" s="6" t="str">
        <f>INDEX(Instrument_Type, MATCH(B326,Position_ID,0),0)</f>
        <v>Cash</v>
      </c>
      <c r="D326" s="27"/>
    </row>
    <row r="327" spans="1:4" x14ac:dyDescent="0.35">
      <c r="A327" s="11">
        <v>43132</v>
      </c>
      <c r="B327" s="9">
        <v>4</v>
      </c>
      <c r="C327" s="6" t="str">
        <f>INDEX(Instrument_Type, MATCH(B327,Position_ID,0),0)</f>
        <v>Cash</v>
      </c>
      <c r="D327" s="27"/>
    </row>
    <row r="328" spans="1:4" x14ac:dyDescent="0.35">
      <c r="A328" s="11">
        <v>43133</v>
      </c>
      <c r="B328" s="9">
        <v>4</v>
      </c>
      <c r="C328" s="6" t="str">
        <f>INDEX(Instrument_Type, MATCH(B328,Position_ID,0),0)</f>
        <v>Cash</v>
      </c>
      <c r="D328" s="27"/>
    </row>
    <row r="329" spans="1:4" x14ac:dyDescent="0.35">
      <c r="A329" s="11">
        <v>43136</v>
      </c>
      <c r="B329" s="9">
        <v>4</v>
      </c>
      <c r="C329" s="6" t="str">
        <f>INDEX(Instrument_Type, MATCH(B329,Position_ID,0),0)</f>
        <v>Cash</v>
      </c>
      <c r="D329" s="27"/>
    </row>
    <row r="330" spans="1:4" x14ac:dyDescent="0.35">
      <c r="A330" s="11">
        <v>43137</v>
      </c>
      <c r="B330" s="9">
        <v>4</v>
      </c>
      <c r="C330" s="6" t="str">
        <f>INDEX(Instrument_Type, MATCH(B330,Position_ID,0),0)</f>
        <v>Cash</v>
      </c>
      <c r="D330" s="27"/>
    </row>
    <row r="331" spans="1:4" x14ac:dyDescent="0.35">
      <c r="A331" s="11">
        <v>43138</v>
      </c>
      <c r="B331" s="9">
        <v>4</v>
      </c>
      <c r="C331" s="6" t="str">
        <f>INDEX(Instrument_Type, MATCH(B331,Position_ID,0),0)</f>
        <v>Cash</v>
      </c>
      <c r="D331" s="27"/>
    </row>
    <row r="332" spans="1:4" x14ac:dyDescent="0.35">
      <c r="A332" s="11">
        <v>43139</v>
      </c>
      <c r="B332" s="9">
        <v>4</v>
      </c>
      <c r="C332" s="6" t="str">
        <f>INDEX(Instrument_Type, MATCH(B332,Position_ID,0),0)</f>
        <v>Cash</v>
      </c>
      <c r="D332" s="27"/>
    </row>
    <row r="333" spans="1:4" x14ac:dyDescent="0.35">
      <c r="A333" s="11">
        <v>43140</v>
      </c>
      <c r="B333" s="9">
        <v>4</v>
      </c>
      <c r="C333" s="6" t="str">
        <f>INDEX(Instrument_Type, MATCH(B333,Position_ID,0),0)</f>
        <v>Cash</v>
      </c>
      <c r="D333" s="27"/>
    </row>
    <row r="334" spans="1:4" x14ac:dyDescent="0.35">
      <c r="A334" s="11">
        <v>43143</v>
      </c>
      <c r="B334" s="9">
        <v>4</v>
      </c>
      <c r="C334" s="6" t="str">
        <f>INDEX(Instrument_Type, MATCH(B334,Position_ID,0),0)</f>
        <v>Cash</v>
      </c>
      <c r="D334" s="27"/>
    </row>
    <row r="335" spans="1:4" x14ac:dyDescent="0.35">
      <c r="A335" s="11">
        <v>43144</v>
      </c>
      <c r="B335" s="9">
        <v>4</v>
      </c>
      <c r="C335" s="6" t="str">
        <f>INDEX(Instrument_Type, MATCH(B335,Position_ID,0),0)</f>
        <v>Cash</v>
      </c>
      <c r="D335" s="27"/>
    </row>
    <row r="336" spans="1:4" x14ac:dyDescent="0.35">
      <c r="A336" s="11">
        <v>43145</v>
      </c>
      <c r="B336" s="9">
        <v>4</v>
      </c>
      <c r="C336" s="6" t="str">
        <f>INDEX(Instrument_Type, MATCH(B336,Position_ID,0),0)</f>
        <v>Cash</v>
      </c>
      <c r="D336" s="27"/>
    </row>
    <row r="337" spans="1:4" x14ac:dyDescent="0.35">
      <c r="A337" s="11">
        <v>43146</v>
      </c>
      <c r="B337" s="9">
        <v>4</v>
      </c>
      <c r="C337" s="6" t="str">
        <f>INDEX(Instrument_Type, MATCH(B337,Position_ID,0),0)</f>
        <v>Cash</v>
      </c>
      <c r="D337" s="27"/>
    </row>
    <row r="338" spans="1:4" x14ac:dyDescent="0.35">
      <c r="A338" s="11">
        <v>43147</v>
      </c>
      <c r="B338" s="9">
        <v>4</v>
      </c>
      <c r="C338" s="6" t="str">
        <f>INDEX(Instrument_Type, MATCH(B338,Position_ID,0),0)</f>
        <v>Cash</v>
      </c>
      <c r="D338" s="27"/>
    </row>
    <row r="339" spans="1:4" x14ac:dyDescent="0.35">
      <c r="A339" s="11">
        <v>43150</v>
      </c>
      <c r="B339" s="9">
        <v>4</v>
      </c>
      <c r="C339" s="6" t="str">
        <f>INDEX(Instrument_Type, MATCH(B339,Position_ID,0),0)</f>
        <v>Cash</v>
      </c>
      <c r="D339" s="27"/>
    </row>
    <row r="340" spans="1:4" x14ac:dyDescent="0.35">
      <c r="A340" s="11">
        <v>43151</v>
      </c>
      <c r="B340" s="9">
        <v>4</v>
      </c>
      <c r="C340" s="6" t="str">
        <f>INDEX(Instrument_Type, MATCH(B340,Position_ID,0),0)</f>
        <v>Cash</v>
      </c>
      <c r="D340" s="27"/>
    </row>
    <row r="341" spans="1:4" x14ac:dyDescent="0.35">
      <c r="A341" s="11">
        <v>43152</v>
      </c>
      <c r="B341" s="9">
        <v>4</v>
      </c>
      <c r="C341" s="6" t="str">
        <f>INDEX(Instrument_Type, MATCH(B341,Position_ID,0),0)</f>
        <v>Cash</v>
      </c>
      <c r="D341" s="27"/>
    </row>
    <row r="342" spans="1:4" x14ac:dyDescent="0.35">
      <c r="A342" s="11">
        <v>43153</v>
      </c>
      <c r="B342" s="9">
        <v>4</v>
      </c>
      <c r="C342" s="6" t="str">
        <f>INDEX(Instrument_Type, MATCH(B342,Position_ID,0),0)</f>
        <v>Cash</v>
      </c>
      <c r="D342" s="27"/>
    </row>
    <row r="343" spans="1:4" x14ac:dyDescent="0.35">
      <c r="A343" s="11">
        <v>43154</v>
      </c>
      <c r="B343" s="9">
        <v>4</v>
      </c>
      <c r="C343" s="6" t="str">
        <f>INDEX(Instrument_Type, MATCH(B343,Position_ID,0),0)</f>
        <v>Cash</v>
      </c>
      <c r="D343" s="27"/>
    </row>
    <row r="344" spans="1:4" x14ac:dyDescent="0.35">
      <c r="A344" s="11">
        <v>43157</v>
      </c>
      <c r="B344" s="9">
        <v>4</v>
      </c>
      <c r="C344" s="6" t="str">
        <f>INDEX(Instrument_Type, MATCH(B344,Position_ID,0),0)</f>
        <v>Cash</v>
      </c>
      <c r="D344" s="27"/>
    </row>
    <row r="345" spans="1:4" x14ac:dyDescent="0.35">
      <c r="A345" s="11">
        <v>43158</v>
      </c>
      <c r="B345" s="9">
        <v>4</v>
      </c>
      <c r="C345" s="6" t="str">
        <f>INDEX(Instrument_Type, MATCH(B345,Position_ID,0),0)</f>
        <v>Cash</v>
      </c>
      <c r="D345" s="27"/>
    </row>
    <row r="346" spans="1:4" x14ac:dyDescent="0.35">
      <c r="A346" s="11">
        <v>43159</v>
      </c>
      <c r="B346" s="9">
        <v>4</v>
      </c>
      <c r="C346" s="6" t="str">
        <f>INDEX(Instrument_Type, MATCH(B346,Position_ID,0),0)</f>
        <v>Cash</v>
      </c>
      <c r="D346" s="27"/>
    </row>
    <row r="347" spans="1:4" x14ac:dyDescent="0.35">
      <c r="A347" s="11">
        <v>43160</v>
      </c>
      <c r="B347" s="9">
        <v>4</v>
      </c>
      <c r="C347" s="6" t="str">
        <f>INDEX(Instrument_Type, MATCH(B347,Position_ID,0),0)</f>
        <v>Cash</v>
      </c>
      <c r="D347" s="27"/>
    </row>
    <row r="348" spans="1:4" x14ac:dyDescent="0.35">
      <c r="A348" s="11">
        <v>43161</v>
      </c>
      <c r="B348" s="9">
        <v>4</v>
      </c>
      <c r="C348" s="6" t="str">
        <f>INDEX(Instrument_Type, MATCH(B348,Position_ID,0),0)</f>
        <v>Cash</v>
      </c>
      <c r="D348" s="27"/>
    </row>
    <row r="349" spans="1:4" x14ac:dyDescent="0.35">
      <c r="A349" s="11">
        <v>43164</v>
      </c>
      <c r="B349" s="9">
        <v>4</v>
      </c>
      <c r="C349" s="6" t="str">
        <f>INDEX(Instrument_Type, MATCH(B349,Position_ID,0),0)</f>
        <v>Cash</v>
      </c>
      <c r="D349" s="27"/>
    </row>
    <row r="350" spans="1:4" x14ac:dyDescent="0.35">
      <c r="A350" s="11">
        <v>43165</v>
      </c>
      <c r="B350" s="9">
        <v>4</v>
      </c>
      <c r="C350" s="6" t="str">
        <f>INDEX(Instrument_Type, MATCH(B350,Position_ID,0),0)</f>
        <v>Cash</v>
      </c>
      <c r="D350" s="27"/>
    </row>
    <row r="351" spans="1:4" x14ac:dyDescent="0.35">
      <c r="A351" s="11">
        <v>43166</v>
      </c>
      <c r="B351" s="9">
        <v>4</v>
      </c>
      <c r="C351" s="6" t="str">
        <f>INDEX(Instrument_Type, MATCH(B351,Position_ID,0),0)</f>
        <v>Cash</v>
      </c>
      <c r="D351" s="27"/>
    </row>
    <row r="352" spans="1:4" x14ac:dyDescent="0.35">
      <c r="A352" s="11">
        <v>43167</v>
      </c>
      <c r="B352" s="9">
        <v>4</v>
      </c>
      <c r="C352" s="6" t="str">
        <f>INDEX(Instrument_Type, MATCH(B352,Position_ID,0),0)</f>
        <v>Cash</v>
      </c>
      <c r="D352" s="27"/>
    </row>
    <row r="353" spans="1:4" x14ac:dyDescent="0.35">
      <c r="A353" s="11">
        <v>43168</v>
      </c>
      <c r="B353" s="9">
        <v>4</v>
      </c>
      <c r="C353" s="6" t="str">
        <f>INDEX(Instrument_Type, MATCH(B353,Position_ID,0),0)</f>
        <v>Cash</v>
      </c>
      <c r="D353" s="27"/>
    </row>
    <row r="354" spans="1:4" x14ac:dyDescent="0.35">
      <c r="A354" s="11">
        <v>43171</v>
      </c>
      <c r="B354" s="9">
        <v>4</v>
      </c>
      <c r="C354" s="6" t="str">
        <f>INDEX(Instrument_Type, MATCH(B354,Position_ID,0),0)</f>
        <v>Cash</v>
      </c>
      <c r="D354" s="27"/>
    </row>
    <row r="355" spans="1:4" x14ac:dyDescent="0.35">
      <c r="A355" s="11">
        <v>43172</v>
      </c>
      <c r="B355" s="9">
        <v>4</v>
      </c>
      <c r="C355" s="6" t="str">
        <f>INDEX(Instrument_Type, MATCH(B355,Position_ID,0),0)</f>
        <v>Cash</v>
      </c>
      <c r="D355" s="27"/>
    </row>
    <row r="356" spans="1:4" x14ac:dyDescent="0.35">
      <c r="A356" s="11">
        <v>43173</v>
      </c>
      <c r="B356" s="9">
        <v>4</v>
      </c>
      <c r="C356" s="6" t="str">
        <f>INDEX(Instrument_Type, MATCH(B356,Position_ID,0),0)</f>
        <v>Cash</v>
      </c>
      <c r="D356" s="27"/>
    </row>
    <row r="357" spans="1:4" x14ac:dyDescent="0.35">
      <c r="A357" s="11">
        <v>43174</v>
      </c>
      <c r="B357" s="9">
        <v>4</v>
      </c>
      <c r="C357" s="6" t="str">
        <f>INDEX(Instrument_Type, MATCH(B357,Position_ID,0),0)</f>
        <v>Cash</v>
      </c>
      <c r="D357" s="27"/>
    </row>
    <row r="358" spans="1:4" x14ac:dyDescent="0.35">
      <c r="A358" s="11">
        <v>43175</v>
      </c>
      <c r="B358" s="9">
        <v>4</v>
      </c>
      <c r="C358" s="6" t="str">
        <f>INDEX(Instrument_Type, MATCH(B358,Position_ID,0),0)</f>
        <v>Cash</v>
      </c>
      <c r="D358" s="27"/>
    </row>
    <row r="359" spans="1:4" x14ac:dyDescent="0.35">
      <c r="A359" s="11">
        <v>43178</v>
      </c>
      <c r="B359" s="9">
        <v>4</v>
      </c>
      <c r="C359" s="6" t="str">
        <f>INDEX(Instrument_Type, MATCH(B359,Position_ID,0),0)</f>
        <v>Cash</v>
      </c>
      <c r="D359" s="27"/>
    </row>
    <row r="360" spans="1:4" x14ac:dyDescent="0.35">
      <c r="A360" s="11">
        <v>43179</v>
      </c>
      <c r="B360" s="9">
        <v>4</v>
      </c>
      <c r="C360" s="6" t="str">
        <f>INDEX(Instrument_Type, MATCH(B360,Position_ID,0),0)</f>
        <v>Cash</v>
      </c>
      <c r="D360" s="27"/>
    </row>
    <row r="361" spans="1:4" x14ac:dyDescent="0.35">
      <c r="A361" s="11">
        <v>43180</v>
      </c>
      <c r="B361" s="9">
        <v>4</v>
      </c>
      <c r="C361" s="6" t="str">
        <f>INDEX(Instrument_Type, MATCH(B361,Position_ID,0),0)</f>
        <v>Cash</v>
      </c>
      <c r="D361" s="27"/>
    </row>
    <row r="362" spans="1:4" x14ac:dyDescent="0.35">
      <c r="A362" s="11">
        <v>43181</v>
      </c>
      <c r="B362" s="9">
        <v>4</v>
      </c>
      <c r="C362" s="6" t="str">
        <f>INDEX(Instrument_Type, MATCH(B362,Position_ID,0),0)</f>
        <v>Cash</v>
      </c>
      <c r="D362" s="27"/>
    </row>
    <row r="363" spans="1:4" x14ac:dyDescent="0.35">
      <c r="A363" s="11">
        <v>43182</v>
      </c>
      <c r="B363" s="9">
        <v>4</v>
      </c>
      <c r="C363" s="6" t="str">
        <f>INDEX(Instrument_Type, MATCH(B363,Position_ID,0),0)</f>
        <v>Cash</v>
      </c>
      <c r="D363" s="27"/>
    </row>
    <row r="364" spans="1:4" x14ac:dyDescent="0.35">
      <c r="A364" s="11">
        <v>43185</v>
      </c>
      <c r="B364" s="9">
        <v>4</v>
      </c>
      <c r="C364" s="6" t="str">
        <f>INDEX(Instrument_Type, MATCH(B364,Position_ID,0),0)</f>
        <v>Cash</v>
      </c>
      <c r="D364" s="27"/>
    </row>
    <row r="365" spans="1:4" x14ac:dyDescent="0.35">
      <c r="A365" s="11">
        <v>43186</v>
      </c>
      <c r="B365" s="9">
        <v>4</v>
      </c>
      <c r="C365" s="6" t="str">
        <f>INDEX(Instrument_Type, MATCH(B365,Position_ID,0),0)</f>
        <v>Cash</v>
      </c>
      <c r="D365" s="27"/>
    </row>
    <row r="366" spans="1:4" x14ac:dyDescent="0.35">
      <c r="A366" s="11">
        <v>43187</v>
      </c>
      <c r="B366" s="9">
        <v>4</v>
      </c>
      <c r="C366" s="6" t="str">
        <f>INDEX(Instrument_Type, MATCH(B366,Position_ID,0),0)</f>
        <v>Cash</v>
      </c>
      <c r="D366" s="27"/>
    </row>
    <row r="367" spans="1:4" x14ac:dyDescent="0.35">
      <c r="A367" s="11">
        <v>43188</v>
      </c>
      <c r="B367" s="9">
        <v>4</v>
      </c>
      <c r="C367" s="6" t="str">
        <f>INDEX(Instrument_Type, MATCH(B367,Position_ID,0),0)</f>
        <v>Cash</v>
      </c>
      <c r="D367" s="27"/>
    </row>
    <row r="368" spans="1:4" x14ac:dyDescent="0.35">
      <c r="A368" s="11">
        <v>43189</v>
      </c>
      <c r="B368" s="9">
        <v>4</v>
      </c>
      <c r="C368" s="6" t="str">
        <f>INDEX(Instrument_Type, MATCH(B368,Position_ID,0),0)</f>
        <v>Cash</v>
      </c>
      <c r="D368" s="27"/>
    </row>
    <row r="369" spans="1:4" x14ac:dyDescent="0.35">
      <c r="A369" s="11">
        <v>43192</v>
      </c>
      <c r="B369" s="9">
        <v>4</v>
      </c>
      <c r="C369" s="6" t="str">
        <f>INDEX(Instrument_Type, MATCH(B369,Position_ID,0),0)</f>
        <v>Cash</v>
      </c>
      <c r="D369" s="27"/>
    </row>
    <row r="370" spans="1:4" x14ac:dyDescent="0.35">
      <c r="A370" s="11">
        <v>43193</v>
      </c>
      <c r="B370" s="9">
        <v>4</v>
      </c>
      <c r="C370" s="6" t="str">
        <f>INDEX(Instrument_Type, MATCH(B370,Position_ID,0),0)</f>
        <v>Cash</v>
      </c>
      <c r="D370" s="27"/>
    </row>
    <row r="371" spans="1:4" x14ac:dyDescent="0.35">
      <c r="A371" s="11">
        <v>43194</v>
      </c>
      <c r="B371" s="9">
        <v>4</v>
      </c>
      <c r="C371" s="6" t="str">
        <f>INDEX(Instrument_Type, MATCH(B371,Position_ID,0),0)</f>
        <v>Cash</v>
      </c>
      <c r="D371" s="27"/>
    </row>
    <row r="372" spans="1:4" x14ac:dyDescent="0.35">
      <c r="A372" s="11">
        <v>43195</v>
      </c>
      <c r="B372" s="9">
        <v>4</v>
      </c>
      <c r="C372" s="6" t="str">
        <f>INDEX(Instrument_Type, MATCH(B372,Position_ID,0),0)</f>
        <v>Cash</v>
      </c>
      <c r="D372" s="27"/>
    </row>
    <row r="373" spans="1:4" x14ac:dyDescent="0.35">
      <c r="A373" s="11">
        <v>43196</v>
      </c>
      <c r="B373" s="9">
        <v>4</v>
      </c>
      <c r="C373" s="6" t="str">
        <f>INDEX(Instrument_Type, MATCH(B373,Position_ID,0),0)</f>
        <v>Cash</v>
      </c>
      <c r="D373" s="27"/>
    </row>
    <row r="374" spans="1:4" x14ac:dyDescent="0.35">
      <c r="A374" s="11">
        <v>43199</v>
      </c>
      <c r="B374" s="9">
        <v>4</v>
      </c>
      <c r="C374" s="6" t="str">
        <f>INDEX(Instrument_Type, MATCH(B374,Position_ID,0),0)</f>
        <v>Cash</v>
      </c>
      <c r="D374" s="27"/>
    </row>
    <row r="375" spans="1:4" x14ac:dyDescent="0.35">
      <c r="A375" s="11">
        <v>43200</v>
      </c>
      <c r="B375" s="9">
        <v>4</v>
      </c>
      <c r="C375" s="6" t="str">
        <f>INDEX(Instrument_Type, MATCH(B375,Position_ID,0),0)</f>
        <v>Cash</v>
      </c>
      <c r="D375" s="27"/>
    </row>
    <row r="376" spans="1:4" x14ac:dyDescent="0.35">
      <c r="A376" s="11">
        <v>43201</v>
      </c>
      <c r="B376" s="9">
        <v>4</v>
      </c>
      <c r="C376" s="6" t="str">
        <f>INDEX(Instrument_Type, MATCH(B376,Position_ID,0),0)</f>
        <v>Cash</v>
      </c>
      <c r="D376" s="27"/>
    </row>
    <row r="377" spans="1:4" x14ac:dyDescent="0.35">
      <c r="A377" s="11">
        <v>43202</v>
      </c>
      <c r="B377" s="9">
        <v>4</v>
      </c>
      <c r="C377" s="6" t="str">
        <f>INDEX(Instrument_Type, MATCH(B377,Position_ID,0),0)</f>
        <v>Cash</v>
      </c>
      <c r="D377" s="27"/>
    </row>
    <row r="378" spans="1:4" x14ac:dyDescent="0.35">
      <c r="A378" s="11">
        <v>43203</v>
      </c>
      <c r="B378" s="9">
        <v>4</v>
      </c>
      <c r="C378" s="6" t="str">
        <f>INDEX(Instrument_Type, MATCH(B378,Position_ID,0),0)</f>
        <v>Cash</v>
      </c>
      <c r="D378" s="27"/>
    </row>
    <row r="379" spans="1:4" x14ac:dyDescent="0.35">
      <c r="A379" s="11">
        <v>43206</v>
      </c>
      <c r="B379" s="9">
        <v>4</v>
      </c>
      <c r="C379" s="6" t="str">
        <f>INDEX(Instrument_Type, MATCH(B379,Position_ID,0),0)</f>
        <v>Cash</v>
      </c>
      <c r="D379" s="27"/>
    </row>
    <row r="380" spans="1:4" x14ac:dyDescent="0.35">
      <c r="A380" s="11">
        <v>43207</v>
      </c>
      <c r="B380" s="9">
        <v>4</v>
      </c>
      <c r="C380" s="6" t="str">
        <f>INDEX(Instrument_Type, MATCH(B380,Position_ID,0),0)</f>
        <v>Cash</v>
      </c>
      <c r="D380" s="27"/>
    </row>
    <row r="381" spans="1:4" x14ac:dyDescent="0.35">
      <c r="A381" s="11">
        <v>43208</v>
      </c>
      <c r="B381" s="9">
        <v>4</v>
      </c>
      <c r="C381" s="6" t="str">
        <f>INDEX(Instrument_Type, MATCH(B381,Position_ID,0),0)</f>
        <v>Cash</v>
      </c>
      <c r="D381" s="27"/>
    </row>
    <row r="382" spans="1:4" x14ac:dyDescent="0.35">
      <c r="A382" s="11">
        <v>43209</v>
      </c>
      <c r="B382" s="9">
        <v>4</v>
      </c>
      <c r="C382" s="6" t="str">
        <f>INDEX(Instrument_Type, MATCH(B382,Position_ID,0),0)</f>
        <v>Cash</v>
      </c>
      <c r="D382" s="27"/>
    </row>
    <row r="383" spans="1:4" x14ac:dyDescent="0.35">
      <c r="A383" s="11">
        <v>43210</v>
      </c>
      <c r="B383" s="9">
        <v>4</v>
      </c>
      <c r="C383" s="6" t="str">
        <f>INDEX(Instrument_Type, MATCH(B383,Position_ID,0),0)</f>
        <v>Cash</v>
      </c>
      <c r="D383" s="27"/>
    </row>
    <row r="384" spans="1:4" x14ac:dyDescent="0.35">
      <c r="A384" s="11">
        <v>43213</v>
      </c>
      <c r="B384" s="9">
        <v>4</v>
      </c>
      <c r="C384" s="6" t="str">
        <f>INDEX(Instrument_Type, MATCH(B384,Position_ID,0),0)</f>
        <v>Cash</v>
      </c>
      <c r="D384" s="27"/>
    </row>
    <row r="385" spans="1:4" x14ac:dyDescent="0.35">
      <c r="A385" s="11">
        <v>43214</v>
      </c>
      <c r="B385" s="9">
        <v>4</v>
      </c>
      <c r="C385" s="6" t="str">
        <f>INDEX(Instrument_Type, MATCH(B385,Position_ID,0),0)</f>
        <v>Cash</v>
      </c>
      <c r="D385" s="27"/>
    </row>
    <row r="386" spans="1:4" x14ac:dyDescent="0.35">
      <c r="A386" s="11">
        <v>43215</v>
      </c>
      <c r="B386" s="9">
        <v>4</v>
      </c>
      <c r="C386" s="6" t="str">
        <f>INDEX(Instrument_Type, MATCH(B386,Position_ID,0),0)</f>
        <v>Cash</v>
      </c>
      <c r="D386" s="27"/>
    </row>
    <row r="387" spans="1:4" x14ac:dyDescent="0.35">
      <c r="A387" s="11">
        <v>43216</v>
      </c>
      <c r="B387" s="9">
        <v>4</v>
      </c>
      <c r="C387" s="6" t="str">
        <f>INDEX(Instrument_Type, MATCH(B387,Position_ID,0),0)</f>
        <v>Cash</v>
      </c>
      <c r="D387" s="27"/>
    </row>
    <row r="388" spans="1:4" x14ac:dyDescent="0.35">
      <c r="A388" s="11">
        <v>43217</v>
      </c>
      <c r="B388" s="9">
        <v>4</v>
      </c>
      <c r="C388" s="6" t="str">
        <f>INDEX(Instrument_Type, MATCH(B388,Position_ID,0),0)</f>
        <v>Cash</v>
      </c>
      <c r="D388" s="27"/>
    </row>
    <row r="389" spans="1:4" x14ac:dyDescent="0.35">
      <c r="A389" s="11">
        <v>43220</v>
      </c>
      <c r="B389" s="9">
        <v>4</v>
      </c>
      <c r="C389" s="6" t="str">
        <f>INDEX(Instrument_Type, MATCH(B389,Position_ID,0),0)</f>
        <v>Cash</v>
      </c>
      <c r="D389" s="27"/>
    </row>
    <row r="390" spans="1:4" x14ac:dyDescent="0.35">
      <c r="A390" s="11">
        <v>43221</v>
      </c>
      <c r="B390" s="9">
        <v>4</v>
      </c>
      <c r="C390" s="6" t="str">
        <f>INDEX(Instrument_Type, MATCH(B390,Position_ID,0),0)</f>
        <v>Cash</v>
      </c>
      <c r="D390" s="27"/>
    </row>
    <row r="391" spans="1:4" x14ac:dyDescent="0.35">
      <c r="A391" s="11">
        <v>43222</v>
      </c>
      <c r="B391" s="9">
        <v>4</v>
      </c>
      <c r="C391" s="6" t="str">
        <f>INDEX(Instrument_Type, MATCH(B391,Position_ID,0),0)</f>
        <v>Cash</v>
      </c>
      <c r="D391" s="27"/>
    </row>
    <row r="392" spans="1:4" x14ac:dyDescent="0.35">
      <c r="A392" s="11">
        <v>43223</v>
      </c>
      <c r="B392" s="9">
        <v>4</v>
      </c>
      <c r="C392" s="6" t="str">
        <f>INDEX(Instrument_Type, MATCH(B392,Position_ID,0),0)</f>
        <v>Cash</v>
      </c>
      <c r="D392" s="27"/>
    </row>
    <row r="393" spans="1:4" x14ac:dyDescent="0.35">
      <c r="A393" s="11">
        <v>43224</v>
      </c>
      <c r="B393" s="9">
        <v>4</v>
      </c>
      <c r="C393" s="6" t="str">
        <f>INDEX(Instrument_Type, MATCH(B393,Position_ID,0),0)</f>
        <v>Cash</v>
      </c>
      <c r="D393" s="27"/>
    </row>
    <row r="394" spans="1:4" x14ac:dyDescent="0.35">
      <c r="A394" s="11">
        <v>43227</v>
      </c>
      <c r="B394" s="9">
        <v>4</v>
      </c>
      <c r="C394" s="6" t="str">
        <f>INDEX(Instrument_Type, MATCH(B394,Position_ID,0),0)</f>
        <v>Cash</v>
      </c>
      <c r="D394" s="27"/>
    </row>
    <row r="395" spans="1:4" x14ac:dyDescent="0.35">
      <c r="A395" s="11">
        <v>43228</v>
      </c>
      <c r="B395" s="9">
        <v>4</v>
      </c>
      <c r="C395" s="6" t="str">
        <f>INDEX(Instrument_Type, MATCH(B395,Position_ID,0),0)</f>
        <v>Cash</v>
      </c>
      <c r="D395" s="27"/>
    </row>
    <row r="396" spans="1:4" x14ac:dyDescent="0.35">
      <c r="A396" s="11">
        <v>43229</v>
      </c>
      <c r="B396" s="9">
        <v>4</v>
      </c>
      <c r="C396" s="6" t="str">
        <f>INDEX(Instrument_Type, MATCH(B396,Position_ID,0),0)</f>
        <v>Cash</v>
      </c>
      <c r="D396" s="27"/>
    </row>
    <row r="397" spans="1:4" x14ac:dyDescent="0.35">
      <c r="A397" s="11">
        <v>43230</v>
      </c>
      <c r="B397" s="9">
        <v>4</v>
      </c>
      <c r="C397" s="6" t="str">
        <f>INDEX(Instrument_Type, MATCH(B397,Position_ID,0),0)</f>
        <v>Cash</v>
      </c>
      <c r="D397" s="27"/>
    </row>
    <row r="398" spans="1:4" x14ac:dyDescent="0.35">
      <c r="A398" s="11">
        <v>43231</v>
      </c>
      <c r="B398" s="9">
        <v>4</v>
      </c>
      <c r="C398" s="6" t="str">
        <f>INDEX(Instrument_Type, MATCH(B398,Position_ID,0),0)</f>
        <v>Cash</v>
      </c>
      <c r="D398" s="27"/>
    </row>
    <row r="399" spans="1:4" x14ac:dyDescent="0.35">
      <c r="A399" s="11">
        <v>43234</v>
      </c>
      <c r="B399" s="9">
        <v>4</v>
      </c>
      <c r="C399" s="6" t="str">
        <f>INDEX(Instrument_Type, MATCH(B399,Position_ID,0),0)</f>
        <v>Cash</v>
      </c>
      <c r="D399" s="27"/>
    </row>
    <row r="400" spans="1:4" x14ac:dyDescent="0.35">
      <c r="A400" s="11">
        <v>43235</v>
      </c>
      <c r="B400" s="9">
        <v>4</v>
      </c>
      <c r="C400" s="6" t="str">
        <f>INDEX(Instrument_Type, MATCH(B400,Position_ID,0),0)</f>
        <v>Cash</v>
      </c>
      <c r="D400" s="27"/>
    </row>
    <row r="401" spans="1:4" x14ac:dyDescent="0.35">
      <c r="A401" s="11">
        <v>43236</v>
      </c>
      <c r="B401" s="9">
        <v>5</v>
      </c>
      <c r="C401" s="6" t="str">
        <f>INDEX(Instrument_Type, MATCH(B401,Position_ID,0),0)</f>
        <v>Floater</v>
      </c>
      <c r="D401" s="27"/>
    </row>
    <row r="402" spans="1:4" x14ac:dyDescent="0.35">
      <c r="A402" s="11">
        <v>43097</v>
      </c>
      <c r="B402" s="9">
        <v>5</v>
      </c>
      <c r="C402" s="6" t="str">
        <f>INDEX(Instrument_Type, MATCH(B402,Position_ID,0),0)</f>
        <v>Floater</v>
      </c>
      <c r="D402" s="27"/>
    </row>
    <row r="403" spans="1:4" x14ac:dyDescent="0.35">
      <c r="A403" s="11">
        <v>43098</v>
      </c>
      <c r="B403" s="9">
        <v>5</v>
      </c>
      <c r="C403" s="6" t="str">
        <f>INDEX(Instrument_Type, MATCH(B403,Position_ID,0),0)</f>
        <v>Floater</v>
      </c>
      <c r="D403" s="27"/>
    </row>
    <row r="404" spans="1:4" x14ac:dyDescent="0.35">
      <c r="A404" s="11">
        <v>43101</v>
      </c>
      <c r="B404" s="9">
        <v>5</v>
      </c>
      <c r="C404" s="6" t="str">
        <f>INDEX(Instrument_Type, MATCH(B404,Position_ID,0),0)</f>
        <v>Floater</v>
      </c>
      <c r="D404" s="27"/>
    </row>
    <row r="405" spans="1:4" x14ac:dyDescent="0.35">
      <c r="A405" s="11">
        <v>43102</v>
      </c>
      <c r="B405" s="9">
        <v>5</v>
      </c>
      <c r="C405" s="6" t="str">
        <f>INDEX(Instrument_Type, MATCH(B405,Position_ID,0),0)</f>
        <v>Floater</v>
      </c>
      <c r="D405" s="27"/>
    </row>
    <row r="406" spans="1:4" x14ac:dyDescent="0.35">
      <c r="A406" s="11">
        <v>43103</v>
      </c>
      <c r="B406" s="9">
        <v>5</v>
      </c>
      <c r="C406" s="6" t="str">
        <f>INDEX(Instrument_Type, MATCH(B406,Position_ID,0),0)</f>
        <v>Floater</v>
      </c>
      <c r="D406" s="27"/>
    </row>
    <row r="407" spans="1:4" x14ac:dyDescent="0.35">
      <c r="A407" s="11">
        <v>43104</v>
      </c>
      <c r="B407" s="9">
        <v>5</v>
      </c>
      <c r="C407" s="6" t="str">
        <f>INDEX(Instrument_Type, MATCH(B407,Position_ID,0),0)</f>
        <v>Floater</v>
      </c>
      <c r="D407" s="27"/>
    </row>
    <row r="408" spans="1:4" x14ac:dyDescent="0.35">
      <c r="A408" s="11">
        <v>43105</v>
      </c>
      <c r="B408" s="9">
        <v>5</v>
      </c>
      <c r="C408" s="6" t="str">
        <f>INDEX(Instrument_Type, MATCH(B408,Position_ID,0),0)</f>
        <v>Floater</v>
      </c>
      <c r="D408" s="27"/>
    </row>
    <row r="409" spans="1:4" x14ac:dyDescent="0.35">
      <c r="A409" s="11">
        <v>43108</v>
      </c>
      <c r="B409" s="9">
        <v>5</v>
      </c>
      <c r="C409" s="6" t="str">
        <f>INDEX(Instrument_Type, MATCH(B409,Position_ID,0),0)</f>
        <v>Floater</v>
      </c>
      <c r="D409" s="27"/>
    </row>
    <row r="410" spans="1:4" x14ac:dyDescent="0.35">
      <c r="A410" s="11">
        <v>43109</v>
      </c>
      <c r="B410" s="9">
        <v>5</v>
      </c>
      <c r="C410" s="6" t="str">
        <f>INDEX(Instrument_Type, MATCH(B410,Position_ID,0),0)</f>
        <v>Floater</v>
      </c>
      <c r="D410" s="27"/>
    </row>
    <row r="411" spans="1:4" x14ac:dyDescent="0.35">
      <c r="A411" s="11">
        <v>43110</v>
      </c>
      <c r="B411" s="9">
        <v>5</v>
      </c>
      <c r="C411" s="6" t="str">
        <f>INDEX(Instrument_Type, MATCH(B411,Position_ID,0),0)</f>
        <v>Floater</v>
      </c>
      <c r="D411" s="27"/>
    </row>
    <row r="412" spans="1:4" x14ac:dyDescent="0.35">
      <c r="A412" s="11">
        <v>43111</v>
      </c>
      <c r="B412" s="9">
        <v>5</v>
      </c>
      <c r="C412" s="6" t="str">
        <f>INDEX(Instrument_Type, MATCH(B412,Position_ID,0),0)</f>
        <v>Floater</v>
      </c>
      <c r="D412" s="27"/>
    </row>
    <row r="413" spans="1:4" x14ac:dyDescent="0.35">
      <c r="A413" s="11">
        <v>43112</v>
      </c>
      <c r="B413" s="9">
        <v>5</v>
      </c>
      <c r="C413" s="6" t="str">
        <f>INDEX(Instrument_Type, MATCH(B413,Position_ID,0),0)</f>
        <v>Floater</v>
      </c>
      <c r="D413" s="27"/>
    </row>
    <row r="414" spans="1:4" x14ac:dyDescent="0.35">
      <c r="A414" s="11">
        <v>43115</v>
      </c>
      <c r="B414" s="9">
        <v>5</v>
      </c>
      <c r="C414" s="6" t="str">
        <f>INDEX(Instrument_Type, MATCH(B414,Position_ID,0),0)</f>
        <v>Floater</v>
      </c>
      <c r="D414" s="27"/>
    </row>
    <row r="415" spans="1:4" x14ac:dyDescent="0.35">
      <c r="A415" s="11">
        <v>43116</v>
      </c>
      <c r="B415" s="9">
        <v>5</v>
      </c>
      <c r="C415" s="6" t="str">
        <f>INDEX(Instrument_Type, MATCH(B415,Position_ID,0),0)</f>
        <v>Floater</v>
      </c>
      <c r="D415" s="27"/>
    </row>
    <row r="416" spans="1:4" x14ac:dyDescent="0.35">
      <c r="A416" s="11">
        <v>43117</v>
      </c>
      <c r="B416" s="9">
        <v>5</v>
      </c>
      <c r="C416" s="6" t="str">
        <f>INDEX(Instrument_Type, MATCH(B416,Position_ID,0),0)</f>
        <v>Floater</v>
      </c>
      <c r="D416" s="27"/>
    </row>
    <row r="417" spans="1:4" x14ac:dyDescent="0.35">
      <c r="A417" s="11">
        <v>43118</v>
      </c>
      <c r="B417" s="9">
        <v>5</v>
      </c>
      <c r="C417" s="6" t="str">
        <f>INDEX(Instrument_Type, MATCH(B417,Position_ID,0),0)</f>
        <v>Floater</v>
      </c>
      <c r="D417" s="27"/>
    </row>
    <row r="418" spans="1:4" x14ac:dyDescent="0.35">
      <c r="A418" s="11">
        <v>43119</v>
      </c>
      <c r="B418" s="9">
        <v>5</v>
      </c>
      <c r="C418" s="6" t="str">
        <f>INDEX(Instrument_Type, MATCH(B418,Position_ID,0),0)</f>
        <v>Floater</v>
      </c>
      <c r="D418" s="27"/>
    </row>
    <row r="419" spans="1:4" x14ac:dyDescent="0.35">
      <c r="A419" s="11">
        <v>43122</v>
      </c>
      <c r="B419" s="9">
        <v>5</v>
      </c>
      <c r="C419" s="6" t="str">
        <f>INDEX(Instrument_Type, MATCH(B419,Position_ID,0),0)</f>
        <v>Floater</v>
      </c>
      <c r="D419" s="27"/>
    </row>
    <row r="420" spans="1:4" x14ac:dyDescent="0.35">
      <c r="A420" s="11">
        <v>43123</v>
      </c>
      <c r="B420" s="9">
        <v>5</v>
      </c>
      <c r="C420" s="6" t="str">
        <f>INDEX(Instrument_Type, MATCH(B420,Position_ID,0),0)</f>
        <v>Floater</v>
      </c>
      <c r="D420" s="27"/>
    </row>
    <row r="421" spans="1:4" x14ac:dyDescent="0.35">
      <c r="A421" s="11">
        <v>43124</v>
      </c>
      <c r="B421" s="9">
        <v>5</v>
      </c>
      <c r="C421" s="6" t="str">
        <f>INDEX(Instrument_Type, MATCH(B421,Position_ID,0),0)</f>
        <v>Floater</v>
      </c>
      <c r="D421" s="27"/>
    </row>
    <row r="422" spans="1:4" x14ac:dyDescent="0.35">
      <c r="A422" s="11">
        <v>43125</v>
      </c>
      <c r="B422" s="9">
        <v>5</v>
      </c>
      <c r="C422" s="6" t="str">
        <f>INDEX(Instrument_Type, MATCH(B422,Position_ID,0),0)</f>
        <v>Floater</v>
      </c>
      <c r="D422" s="27"/>
    </row>
    <row r="423" spans="1:4" x14ac:dyDescent="0.35">
      <c r="A423" s="11">
        <v>43126</v>
      </c>
      <c r="B423" s="9">
        <v>5</v>
      </c>
      <c r="C423" s="6" t="str">
        <f>INDEX(Instrument_Type, MATCH(B423,Position_ID,0),0)</f>
        <v>Floater</v>
      </c>
      <c r="D423" s="27"/>
    </row>
    <row r="424" spans="1:4" x14ac:dyDescent="0.35">
      <c r="A424" s="11">
        <v>43129</v>
      </c>
      <c r="B424" s="9">
        <v>5</v>
      </c>
      <c r="C424" s="6" t="str">
        <f>INDEX(Instrument_Type, MATCH(B424,Position_ID,0),0)</f>
        <v>Floater</v>
      </c>
      <c r="D424" s="27"/>
    </row>
    <row r="425" spans="1:4" x14ac:dyDescent="0.35">
      <c r="A425" s="11">
        <v>43130</v>
      </c>
      <c r="B425" s="9">
        <v>5</v>
      </c>
      <c r="C425" s="6" t="str">
        <f>INDEX(Instrument_Type, MATCH(B425,Position_ID,0),0)</f>
        <v>Floater</v>
      </c>
      <c r="D425" s="27"/>
    </row>
    <row r="426" spans="1:4" x14ac:dyDescent="0.35">
      <c r="A426" s="11">
        <v>43131</v>
      </c>
      <c r="B426" s="9">
        <v>5</v>
      </c>
      <c r="C426" s="6" t="str">
        <f>INDEX(Instrument_Type, MATCH(B426,Position_ID,0),0)</f>
        <v>Floater</v>
      </c>
      <c r="D426" s="27"/>
    </row>
    <row r="427" spans="1:4" x14ac:dyDescent="0.35">
      <c r="A427" s="11">
        <v>43132</v>
      </c>
      <c r="B427" s="9">
        <v>5</v>
      </c>
      <c r="C427" s="6" t="str">
        <f>INDEX(Instrument_Type, MATCH(B427,Position_ID,0),0)</f>
        <v>Floater</v>
      </c>
      <c r="D427" s="27"/>
    </row>
    <row r="428" spans="1:4" x14ac:dyDescent="0.35">
      <c r="A428" s="11">
        <v>43133</v>
      </c>
      <c r="B428" s="9">
        <v>5</v>
      </c>
      <c r="C428" s="6" t="str">
        <f>INDEX(Instrument_Type, MATCH(B428,Position_ID,0),0)</f>
        <v>Floater</v>
      </c>
      <c r="D428" s="27"/>
    </row>
    <row r="429" spans="1:4" x14ac:dyDescent="0.35">
      <c r="A429" s="11">
        <v>43136</v>
      </c>
      <c r="B429" s="9">
        <v>5</v>
      </c>
      <c r="C429" s="6" t="str">
        <f>INDEX(Instrument_Type, MATCH(B429,Position_ID,0),0)</f>
        <v>Floater</v>
      </c>
      <c r="D429" s="27"/>
    </row>
    <row r="430" spans="1:4" x14ac:dyDescent="0.35">
      <c r="A430" s="11">
        <v>43137</v>
      </c>
      <c r="B430" s="9">
        <v>5</v>
      </c>
      <c r="C430" s="6" t="str">
        <f>INDEX(Instrument_Type, MATCH(B430,Position_ID,0),0)</f>
        <v>Floater</v>
      </c>
      <c r="D430" s="27"/>
    </row>
    <row r="431" spans="1:4" x14ac:dyDescent="0.35">
      <c r="A431" s="11">
        <v>43138</v>
      </c>
      <c r="B431" s="9">
        <v>5</v>
      </c>
      <c r="C431" s="6" t="str">
        <f>INDEX(Instrument_Type, MATCH(B431,Position_ID,0),0)</f>
        <v>Floater</v>
      </c>
      <c r="D431" s="27"/>
    </row>
    <row r="432" spans="1:4" x14ac:dyDescent="0.35">
      <c r="A432" s="11">
        <v>43139</v>
      </c>
      <c r="B432" s="9">
        <v>5</v>
      </c>
      <c r="C432" s="6" t="str">
        <f>INDEX(Instrument_Type, MATCH(B432,Position_ID,0),0)</f>
        <v>Floater</v>
      </c>
      <c r="D432" s="27"/>
    </row>
    <row r="433" spans="1:4" x14ac:dyDescent="0.35">
      <c r="A433" s="11">
        <v>43140</v>
      </c>
      <c r="B433" s="9">
        <v>5</v>
      </c>
      <c r="C433" s="6" t="str">
        <f>INDEX(Instrument_Type, MATCH(B433,Position_ID,0),0)</f>
        <v>Floater</v>
      </c>
      <c r="D433" s="27"/>
    </row>
    <row r="434" spans="1:4" x14ac:dyDescent="0.35">
      <c r="A434" s="11">
        <v>43143</v>
      </c>
      <c r="B434" s="9">
        <v>5</v>
      </c>
      <c r="C434" s="6" t="str">
        <f>INDEX(Instrument_Type, MATCH(B434,Position_ID,0),0)</f>
        <v>Floater</v>
      </c>
      <c r="D434" s="27"/>
    </row>
    <row r="435" spans="1:4" x14ac:dyDescent="0.35">
      <c r="A435" s="11">
        <v>43144</v>
      </c>
      <c r="B435" s="9">
        <v>5</v>
      </c>
      <c r="C435" s="6" t="str">
        <f>INDEX(Instrument_Type, MATCH(B435,Position_ID,0),0)</f>
        <v>Floater</v>
      </c>
      <c r="D435" s="27"/>
    </row>
    <row r="436" spans="1:4" x14ac:dyDescent="0.35">
      <c r="A436" s="11">
        <v>43145</v>
      </c>
      <c r="B436" s="9">
        <v>5</v>
      </c>
      <c r="C436" s="6" t="str">
        <f>INDEX(Instrument_Type, MATCH(B436,Position_ID,0),0)</f>
        <v>Floater</v>
      </c>
      <c r="D436" s="27"/>
    </row>
    <row r="437" spans="1:4" x14ac:dyDescent="0.35">
      <c r="A437" s="11">
        <v>43146</v>
      </c>
      <c r="B437" s="9">
        <v>5</v>
      </c>
      <c r="C437" s="6" t="str">
        <f>INDEX(Instrument_Type, MATCH(B437,Position_ID,0),0)</f>
        <v>Floater</v>
      </c>
      <c r="D437" s="27"/>
    </row>
    <row r="438" spans="1:4" x14ac:dyDescent="0.35">
      <c r="A438" s="11">
        <v>43147</v>
      </c>
      <c r="B438" s="9">
        <v>5</v>
      </c>
      <c r="C438" s="6" t="str">
        <f>INDEX(Instrument_Type, MATCH(B438,Position_ID,0),0)</f>
        <v>Floater</v>
      </c>
      <c r="D438" s="27"/>
    </row>
    <row r="439" spans="1:4" x14ac:dyDescent="0.35">
      <c r="A439" s="11">
        <v>43150</v>
      </c>
      <c r="B439" s="9">
        <v>5</v>
      </c>
      <c r="C439" s="6" t="str">
        <f>INDEX(Instrument_Type, MATCH(B439,Position_ID,0),0)</f>
        <v>Floater</v>
      </c>
      <c r="D439" s="27"/>
    </row>
    <row r="440" spans="1:4" x14ac:dyDescent="0.35">
      <c r="A440" s="11">
        <v>43151</v>
      </c>
      <c r="B440" s="9">
        <v>5</v>
      </c>
      <c r="C440" s="6" t="str">
        <f>INDEX(Instrument_Type, MATCH(B440,Position_ID,0),0)</f>
        <v>Floater</v>
      </c>
      <c r="D440" s="27"/>
    </row>
    <row r="441" spans="1:4" x14ac:dyDescent="0.35">
      <c r="A441" s="11">
        <v>43152</v>
      </c>
      <c r="B441" s="9">
        <v>5</v>
      </c>
      <c r="C441" s="6" t="str">
        <f>INDEX(Instrument_Type, MATCH(B441,Position_ID,0),0)</f>
        <v>Floater</v>
      </c>
      <c r="D441" s="27"/>
    </row>
    <row r="442" spans="1:4" x14ac:dyDescent="0.35">
      <c r="A442" s="11">
        <v>43153</v>
      </c>
      <c r="B442" s="9">
        <v>5</v>
      </c>
      <c r="C442" s="6" t="str">
        <f>INDEX(Instrument_Type, MATCH(B442,Position_ID,0),0)</f>
        <v>Floater</v>
      </c>
      <c r="D442" s="27"/>
    </row>
    <row r="443" spans="1:4" x14ac:dyDescent="0.35">
      <c r="A443" s="11">
        <v>43154</v>
      </c>
      <c r="B443" s="9">
        <v>5</v>
      </c>
      <c r="C443" s="6" t="str">
        <f>INDEX(Instrument_Type, MATCH(B443,Position_ID,0),0)</f>
        <v>Floater</v>
      </c>
      <c r="D443" s="27"/>
    </row>
    <row r="444" spans="1:4" x14ac:dyDescent="0.35">
      <c r="A444" s="11">
        <v>43157</v>
      </c>
      <c r="B444" s="9">
        <v>5</v>
      </c>
      <c r="C444" s="6" t="str">
        <f>INDEX(Instrument_Type, MATCH(B444,Position_ID,0),0)</f>
        <v>Floater</v>
      </c>
      <c r="D444" s="27"/>
    </row>
    <row r="445" spans="1:4" x14ac:dyDescent="0.35">
      <c r="A445" s="11">
        <v>43158</v>
      </c>
      <c r="B445" s="9">
        <v>5</v>
      </c>
      <c r="C445" s="6" t="str">
        <f>INDEX(Instrument_Type, MATCH(B445,Position_ID,0),0)</f>
        <v>Floater</v>
      </c>
      <c r="D445" s="27"/>
    </row>
    <row r="446" spans="1:4" x14ac:dyDescent="0.35">
      <c r="A446" s="11">
        <v>43159</v>
      </c>
      <c r="B446" s="9">
        <v>5</v>
      </c>
      <c r="C446" s="6" t="str">
        <f>INDEX(Instrument_Type, MATCH(B446,Position_ID,0),0)</f>
        <v>Floater</v>
      </c>
      <c r="D446" s="27"/>
    </row>
    <row r="447" spans="1:4" x14ac:dyDescent="0.35">
      <c r="A447" s="11">
        <v>43160</v>
      </c>
      <c r="B447" s="9">
        <v>5</v>
      </c>
      <c r="C447" s="6" t="str">
        <f>INDEX(Instrument_Type, MATCH(B447,Position_ID,0),0)</f>
        <v>Floater</v>
      </c>
      <c r="D447" s="27"/>
    </row>
    <row r="448" spans="1:4" x14ac:dyDescent="0.35">
      <c r="A448" s="11">
        <v>43161</v>
      </c>
      <c r="B448" s="9">
        <v>5</v>
      </c>
      <c r="C448" s="6" t="str">
        <f>INDEX(Instrument_Type, MATCH(B448,Position_ID,0),0)</f>
        <v>Floater</v>
      </c>
      <c r="D448" s="27"/>
    </row>
    <row r="449" spans="1:4" x14ac:dyDescent="0.35">
      <c r="A449" s="11">
        <v>43164</v>
      </c>
      <c r="B449" s="9">
        <v>5</v>
      </c>
      <c r="C449" s="6" t="str">
        <f>INDEX(Instrument_Type, MATCH(B449,Position_ID,0),0)</f>
        <v>Floater</v>
      </c>
      <c r="D449" s="27"/>
    </row>
    <row r="450" spans="1:4" x14ac:dyDescent="0.35">
      <c r="A450" s="11">
        <v>43165</v>
      </c>
      <c r="B450" s="9">
        <v>5</v>
      </c>
      <c r="C450" s="6" t="str">
        <f>INDEX(Instrument_Type, MATCH(B450,Position_ID,0),0)</f>
        <v>Floater</v>
      </c>
      <c r="D450" s="27"/>
    </row>
    <row r="451" spans="1:4" x14ac:dyDescent="0.35">
      <c r="A451" s="11">
        <v>43166</v>
      </c>
      <c r="B451" s="9">
        <v>5</v>
      </c>
      <c r="C451" s="6" t="str">
        <f>INDEX(Instrument_Type, MATCH(B451,Position_ID,0),0)</f>
        <v>Floater</v>
      </c>
      <c r="D451" s="27"/>
    </row>
    <row r="452" spans="1:4" x14ac:dyDescent="0.35">
      <c r="A452" s="11">
        <v>43167</v>
      </c>
      <c r="B452" s="9">
        <v>5</v>
      </c>
      <c r="C452" s="6" t="str">
        <f>INDEX(Instrument_Type, MATCH(B452,Position_ID,0),0)</f>
        <v>Floater</v>
      </c>
      <c r="D452" s="27"/>
    </row>
    <row r="453" spans="1:4" x14ac:dyDescent="0.35">
      <c r="A453" s="11">
        <v>43168</v>
      </c>
      <c r="B453" s="9">
        <v>5</v>
      </c>
      <c r="C453" s="6" t="str">
        <f>INDEX(Instrument_Type, MATCH(B453,Position_ID,0),0)</f>
        <v>Floater</v>
      </c>
      <c r="D453" s="27"/>
    </row>
    <row r="454" spans="1:4" x14ac:dyDescent="0.35">
      <c r="A454" s="11">
        <v>43171</v>
      </c>
      <c r="B454" s="9">
        <v>5</v>
      </c>
      <c r="C454" s="6" t="str">
        <f>INDEX(Instrument_Type, MATCH(B454,Position_ID,0),0)</f>
        <v>Floater</v>
      </c>
      <c r="D454" s="27"/>
    </row>
    <row r="455" spans="1:4" x14ac:dyDescent="0.35">
      <c r="A455" s="11">
        <v>43172</v>
      </c>
      <c r="B455" s="9">
        <v>5</v>
      </c>
      <c r="C455" s="6" t="str">
        <f>INDEX(Instrument_Type, MATCH(B455,Position_ID,0),0)</f>
        <v>Floater</v>
      </c>
      <c r="D455" s="27"/>
    </row>
    <row r="456" spans="1:4" x14ac:dyDescent="0.35">
      <c r="A456" s="11">
        <v>43173</v>
      </c>
      <c r="B456" s="9">
        <v>5</v>
      </c>
      <c r="C456" s="6" t="str">
        <f>INDEX(Instrument_Type, MATCH(B456,Position_ID,0),0)</f>
        <v>Floater</v>
      </c>
      <c r="D456" s="27"/>
    </row>
    <row r="457" spans="1:4" x14ac:dyDescent="0.35">
      <c r="A457" s="11">
        <v>43174</v>
      </c>
      <c r="B457" s="9">
        <v>5</v>
      </c>
      <c r="C457" s="6" t="str">
        <f>INDEX(Instrument_Type, MATCH(B457,Position_ID,0),0)</f>
        <v>Floater</v>
      </c>
      <c r="D457" s="27"/>
    </row>
    <row r="458" spans="1:4" x14ac:dyDescent="0.35">
      <c r="A458" s="11">
        <v>43175</v>
      </c>
      <c r="B458" s="9">
        <v>5</v>
      </c>
      <c r="C458" s="6" t="str">
        <f>INDEX(Instrument_Type, MATCH(B458,Position_ID,0),0)</f>
        <v>Floater</v>
      </c>
      <c r="D458" s="27"/>
    </row>
    <row r="459" spans="1:4" x14ac:dyDescent="0.35">
      <c r="A459" s="11">
        <v>43178</v>
      </c>
      <c r="B459" s="9">
        <v>5</v>
      </c>
      <c r="C459" s="6" t="str">
        <f>INDEX(Instrument_Type, MATCH(B459,Position_ID,0),0)</f>
        <v>Floater</v>
      </c>
      <c r="D459" s="27"/>
    </row>
    <row r="460" spans="1:4" x14ac:dyDescent="0.35">
      <c r="A460" s="11">
        <v>43179</v>
      </c>
      <c r="B460" s="9">
        <v>5</v>
      </c>
      <c r="C460" s="6" t="str">
        <f>INDEX(Instrument_Type, MATCH(B460,Position_ID,0),0)</f>
        <v>Floater</v>
      </c>
      <c r="D460" s="27"/>
    </row>
    <row r="461" spans="1:4" x14ac:dyDescent="0.35">
      <c r="A461" s="11">
        <v>43180</v>
      </c>
      <c r="B461" s="9">
        <v>5</v>
      </c>
      <c r="C461" s="6" t="str">
        <f>INDEX(Instrument_Type, MATCH(B461,Position_ID,0),0)</f>
        <v>Floater</v>
      </c>
      <c r="D461" s="27"/>
    </row>
    <row r="462" spans="1:4" x14ac:dyDescent="0.35">
      <c r="A462" s="11">
        <v>43181</v>
      </c>
      <c r="B462" s="9">
        <v>5</v>
      </c>
      <c r="C462" s="6" t="str">
        <f>INDEX(Instrument_Type, MATCH(B462,Position_ID,0),0)</f>
        <v>Floater</v>
      </c>
      <c r="D462" s="27"/>
    </row>
    <row r="463" spans="1:4" x14ac:dyDescent="0.35">
      <c r="A463" s="11">
        <v>43182</v>
      </c>
      <c r="B463" s="9">
        <v>5</v>
      </c>
      <c r="C463" s="6" t="str">
        <f>INDEX(Instrument_Type, MATCH(B463,Position_ID,0),0)</f>
        <v>Floater</v>
      </c>
      <c r="D463" s="27"/>
    </row>
    <row r="464" spans="1:4" x14ac:dyDescent="0.35">
      <c r="A464" s="11">
        <v>43185</v>
      </c>
      <c r="B464" s="9">
        <v>5</v>
      </c>
      <c r="C464" s="6" t="str">
        <f>INDEX(Instrument_Type, MATCH(B464,Position_ID,0),0)</f>
        <v>Floater</v>
      </c>
      <c r="D464" s="27"/>
    </row>
    <row r="465" spans="1:4" x14ac:dyDescent="0.35">
      <c r="A465" s="11">
        <v>43186</v>
      </c>
      <c r="B465" s="9">
        <v>5</v>
      </c>
      <c r="C465" s="6" t="str">
        <f>INDEX(Instrument_Type, MATCH(B465,Position_ID,0),0)</f>
        <v>Floater</v>
      </c>
      <c r="D465" s="27"/>
    </row>
    <row r="466" spans="1:4" x14ac:dyDescent="0.35">
      <c r="A466" s="11">
        <v>43187</v>
      </c>
      <c r="B466" s="9">
        <v>5</v>
      </c>
      <c r="C466" s="6" t="str">
        <f>INDEX(Instrument_Type, MATCH(B466,Position_ID,0),0)</f>
        <v>Floater</v>
      </c>
      <c r="D466" s="27"/>
    </row>
    <row r="467" spans="1:4" x14ac:dyDescent="0.35">
      <c r="A467" s="11">
        <v>43188</v>
      </c>
      <c r="B467" s="9">
        <v>5</v>
      </c>
      <c r="C467" s="6" t="str">
        <f>INDEX(Instrument_Type, MATCH(B467,Position_ID,0),0)</f>
        <v>Floater</v>
      </c>
      <c r="D467" s="27"/>
    </row>
    <row r="468" spans="1:4" x14ac:dyDescent="0.35">
      <c r="A468" s="11">
        <v>43189</v>
      </c>
      <c r="B468" s="9">
        <v>5</v>
      </c>
      <c r="C468" s="6" t="str">
        <f>INDEX(Instrument_Type, MATCH(B468,Position_ID,0),0)</f>
        <v>Floater</v>
      </c>
      <c r="D468" s="27"/>
    </row>
    <row r="469" spans="1:4" x14ac:dyDescent="0.35">
      <c r="A469" s="11">
        <v>43192</v>
      </c>
      <c r="B469" s="9">
        <v>5</v>
      </c>
      <c r="C469" s="6" t="str">
        <f>INDEX(Instrument_Type, MATCH(B469,Position_ID,0),0)</f>
        <v>Floater</v>
      </c>
      <c r="D469" s="27"/>
    </row>
    <row r="470" spans="1:4" x14ac:dyDescent="0.35">
      <c r="A470" s="11">
        <v>43193</v>
      </c>
      <c r="B470" s="9">
        <v>5</v>
      </c>
      <c r="C470" s="6" t="str">
        <f>INDEX(Instrument_Type, MATCH(B470,Position_ID,0),0)</f>
        <v>Floater</v>
      </c>
      <c r="D470" s="27"/>
    </row>
    <row r="471" spans="1:4" x14ac:dyDescent="0.35">
      <c r="A471" s="11">
        <v>43194</v>
      </c>
      <c r="B471" s="9">
        <v>5</v>
      </c>
      <c r="C471" s="6" t="str">
        <f>INDEX(Instrument_Type, MATCH(B471,Position_ID,0),0)</f>
        <v>Floater</v>
      </c>
      <c r="D471" s="27"/>
    </row>
    <row r="472" spans="1:4" x14ac:dyDescent="0.35">
      <c r="A472" s="11">
        <v>43195</v>
      </c>
      <c r="B472" s="9">
        <v>5</v>
      </c>
      <c r="C472" s="6" t="str">
        <f>INDEX(Instrument_Type, MATCH(B472,Position_ID,0),0)</f>
        <v>Floater</v>
      </c>
      <c r="D472" s="27"/>
    </row>
    <row r="473" spans="1:4" x14ac:dyDescent="0.35">
      <c r="A473" s="11">
        <v>43196</v>
      </c>
      <c r="B473" s="9">
        <v>5</v>
      </c>
      <c r="C473" s="6" t="str">
        <f>INDEX(Instrument_Type, MATCH(B473,Position_ID,0),0)</f>
        <v>Floater</v>
      </c>
      <c r="D473" s="27"/>
    </row>
    <row r="474" spans="1:4" x14ac:dyDescent="0.35">
      <c r="A474" s="11">
        <v>43199</v>
      </c>
      <c r="B474" s="9">
        <v>5</v>
      </c>
      <c r="C474" s="6" t="str">
        <f>INDEX(Instrument_Type, MATCH(B474,Position_ID,0),0)</f>
        <v>Floater</v>
      </c>
      <c r="D474" s="27"/>
    </row>
    <row r="475" spans="1:4" x14ac:dyDescent="0.35">
      <c r="A475" s="11">
        <v>43200</v>
      </c>
      <c r="B475" s="9">
        <v>5</v>
      </c>
      <c r="C475" s="6" t="str">
        <f>INDEX(Instrument_Type, MATCH(B475,Position_ID,0),0)</f>
        <v>Floater</v>
      </c>
      <c r="D475" s="27"/>
    </row>
    <row r="476" spans="1:4" x14ac:dyDescent="0.35">
      <c r="A476" s="11">
        <v>43201</v>
      </c>
      <c r="B476" s="9">
        <v>5</v>
      </c>
      <c r="C476" s="6" t="str">
        <f>INDEX(Instrument_Type, MATCH(B476,Position_ID,0),0)</f>
        <v>Floater</v>
      </c>
      <c r="D476" s="27"/>
    </row>
    <row r="477" spans="1:4" x14ac:dyDescent="0.35">
      <c r="A477" s="11">
        <v>43202</v>
      </c>
      <c r="B477" s="9">
        <v>5</v>
      </c>
      <c r="C477" s="6" t="str">
        <f>INDEX(Instrument_Type, MATCH(B477,Position_ID,0),0)</f>
        <v>Floater</v>
      </c>
      <c r="D477" s="27"/>
    </row>
    <row r="478" spans="1:4" x14ac:dyDescent="0.35">
      <c r="A478" s="11">
        <v>43203</v>
      </c>
      <c r="B478" s="9">
        <v>5</v>
      </c>
      <c r="C478" s="6" t="str">
        <f>INDEX(Instrument_Type, MATCH(B478,Position_ID,0),0)</f>
        <v>Floater</v>
      </c>
      <c r="D478" s="27"/>
    </row>
    <row r="479" spans="1:4" x14ac:dyDescent="0.35">
      <c r="A479" s="11">
        <v>43206</v>
      </c>
      <c r="B479" s="9">
        <v>5</v>
      </c>
      <c r="C479" s="6" t="str">
        <f>INDEX(Instrument_Type, MATCH(B479,Position_ID,0),0)</f>
        <v>Floater</v>
      </c>
      <c r="D479" s="27"/>
    </row>
    <row r="480" spans="1:4" x14ac:dyDescent="0.35">
      <c r="A480" s="11">
        <v>43207</v>
      </c>
      <c r="B480" s="9">
        <v>5</v>
      </c>
      <c r="C480" s="6" t="str">
        <f>INDEX(Instrument_Type, MATCH(B480,Position_ID,0),0)</f>
        <v>Floater</v>
      </c>
      <c r="D480" s="27"/>
    </row>
    <row r="481" spans="1:4" x14ac:dyDescent="0.35">
      <c r="A481" s="11">
        <v>43208</v>
      </c>
      <c r="B481" s="9">
        <v>5</v>
      </c>
      <c r="C481" s="6" t="str">
        <f>INDEX(Instrument_Type, MATCH(B481,Position_ID,0),0)</f>
        <v>Floater</v>
      </c>
      <c r="D481" s="27"/>
    </row>
    <row r="482" spans="1:4" x14ac:dyDescent="0.35">
      <c r="A482" s="11">
        <v>43209</v>
      </c>
      <c r="B482" s="9">
        <v>5</v>
      </c>
      <c r="C482" s="6" t="str">
        <f>INDEX(Instrument_Type, MATCH(B482,Position_ID,0),0)</f>
        <v>Floater</v>
      </c>
      <c r="D482" s="27"/>
    </row>
    <row r="483" spans="1:4" x14ac:dyDescent="0.35">
      <c r="A483" s="11">
        <v>43210</v>
      </c>
      <c r="B483" s="9">
        <v>5</v>
      </c>
      <c r="C483" s="6" t="str">
        <f>INDEX(Instrument_Type, MATCH(B483,Position_ID,0),0)</f>
        <v>Floater</v>
      </c>
      <c r="D483" s="27"/>
    </row>
    <row r="484" spans="1:4" x14ac:dyDescent="0.35">
      <c r="A484" s="11">
        <v>43213</v>
      </c>
      <c r="B484" s="9">
        <v>5</v>
      </c>
      <c r="C484" s="6" t="str">
        <f>INDEX(Instrument_Type, MATCH(B484,Position_ID,0),0)</f>
        <v>Floater</v>
      </c>
      <c r="D484" s="27"/>
    </row>
    <row r="485" spans="1:4" x14ac:dyDescent="0.35">
      <c r="A485" s="11">
        <v>43214</v>
      </c>
      <c r="B485" s="9">
        <v>5</v>
      </c>
      <c r="C485" s="6" t="str">
        <f>INDEX(Instrument_Type, MATCH(B485,Position_ID,0),0)</f>
        <v>Floater</v>
      </c>
      <c r="D485" s="27"/>
    </row>
    <row r="486" spans="1:4" x14ac:dyDescent="0.35">
      <c r="A486" s="11">
        <v>43215</v>
      </c>
      <c r="B486" s="9">
        <v>5</v>
      </c>
      <c r="C486" s="6" t="str">
        <f>INDEX(Instrument_Type, MATCH(B486,Position_ID,0),0)</f>
        <v>Floater</v>
      </c>
      <c r="D486" s="27"/>
    </row>
    <row r="487" spans="1:4" x14ac:dyDescent="0.35">
      <c r="A487" s="11">
        <v>43216</v>
      </c>
      <c r="B487" s="9">
        <v>5</v>
      </c>
      <c r="C487" s="6" t="str">
        <f>INDEX(Instrument_Type, MATCH(B487,Position_ID,0),0)</f>
        <v>Floater</v>
      </c>
      <c r="D487" s="27"/>
    </row>
    <row r="488" spans="1:4" x14ac:dyDescent="0.35">
      <c r="A488" s="11">
        <v>43217</v>
      </c>
      <c r="B488" s="9">
        <v>5</v>
      </c>
      <c r="C488" s="6" t="str">
        <f>INDEX(Instrument_Type, MATCH(B488,Position_ID,0),0)</f>
        <v>Floater</v>
      </c>
      <c r="D488" s="27"/>
    </row>
    <row r="489" spans="1:4" x14ac:dyDescent="0.35">
      <c r="A489" s="11">
        <v>43220</v>
      </c>
      <c r="B489" s="9">
        <v>5</v>
      </c>
      <c r="C489" s="6" t="str">
        <f>INDEX(Instrument_Type, MATCH(B489,Position_ID,0),0)</f>
        <v>Floater</v>
      </c>
      <c r="D489" s="27"/>
    </row>
    <row r="490" spans="1:4" x14ac:dyDescent="0.35">
      <c r="A490" s="11">
        <v>43221</v>
      </c>
      <c r="B490" s="9">
        <v>5</v>
      </c>
      <c r="C490" s="6" t="str">
        <f>INDEX(Instrument_Type, MATCH(B490,Position_ID,0),0)</f>
        <v>Floater</v>
      </c>
      <c r="D490" s="27"/>
    </row>
    <row r="491" spans="1:4" x14ac:dyDescent="0.35">
      <c r="A491" s="11">
        <v>43222</v>
      </c>
      <c r="B491" s="9">
        <v>5</v>
      </c>
      <c r="C491" s="6" t="str">
        <f>INDEX(Instrument_Type, MATCH(B491,Position_ID,0),0)</f>
        <v>Floater</v>
      </c>
      <c r="D491" s="27"/>
    </row>
    <row r="492" spans="1:4" x14ac:dyDescent="0.35">
      <c r="A492" s="11">
        <v>43223</v>
      </c>
      <c r="B492" s="9">
        <v>5</v>
      </c>
      <c r="C492" s="6" t="str">
        <f>INDEX(Instrument_Type, MATCH(B492,Position_ID,0),0)</f>
        <v>Floater</v>
      </c>
      <c r="D492" s="27"/>
    </row>
    <row r="493" spans="1:4" x14ac:dyDescent="0.35">
      <c r="A493" s="11">
        <v>43224</v>
      </c>
      <c r="B493" s="9">
        <v>5</v>
      </c>
      <c r="C493" s="6" t="str">
        <f>INDEX(Instrument_Type, MATCH(B493,Position_ID,0),0)</f>
        <v>Floater</v>
      </c>
      <c r="D493" s="27"/>
    </row>
    <row r="494" spans="1:4" x14ac:dyDescent="0.35">
      <c r="A494" s="11">
        <v>43227</v>
      </c>
      <c r="B494" s="9">
        <v>5</v>
      </c>
      <c r="C494" s="6" t="str">
        <f>INDEX(Instrument_Type, MATCH(B494,Position_ID,0),0)</f>
        <v>Floater</v>
      </c>
      <c r="D494" s="27"/>
    </row>
    <row r="495" spans="1:4" x14ac:dyDescent="0.35">
      <c r="A495" s="11">
        <v>43228</v>
      </c>
      <c r="B495" s="9">
        <v>5</v>
      </c>
      <c r="C495" s="6" t="str">
        <f>INDEX(Instrument_Type, MATCH(B495,Position_ID,0),0)</f>
        <v>Floater</v>
      </c>
      <c r="D495" s="27"/>
    </row>
    <row r="496" spans="1:4" x14ac:dyDescent="0.35">
      <c r="A496" s="11">
        <v>43229</v>
      </c>
      <c r="B496" s="9">
        <v>5</v>
      </c>
      <c r="C496" s="6" t="str">
        <f>INDEX(Instrument_Type, MATCH(B496,Position_ID,0),0)</f>
        <v>Floater</v>
      </c>
      <c r="D496" s="27"/>
    </row>
    <row r="497" spans="1:4" x14ac:dyDescent="0.35">
      <c r="A497" s="11">
        <v>43230</v>
      </c>
      <c r="B497" s="9">
        <v>5</v>
      </c>
      <c r="C497" s="6" t="str">
        <f>INDEX(Instrument_Type, MATCH(B497,Position_ID,0),0)</f>
        <v>Floater</v>
      </c>
      <c r="D497" s="27"/>
    </row>
    <row r="498" spans="1:4" x14ac:dyDescent="0.35">
      <c r="A498" s="11">
        <v>43231</v>
      </c>
      <c r="B498" s="9">
        <v>5</v>
      </c>
      <c r="C498" s="6" t="str">
        <f>INDEX(Instrument_Type, MATCH(B498,Position_ID,0),0)</f>
        <v>Floater</v>
      </c>
      <c r="D498" s="27"/>
    </row>
    <row r="499" spans="1:4" x14ac:dyDescent="0.35">
      <c r="A499" s="11">
        <v>43234</v>
      </c>
      <c r="B499" s="9">
        <v>5</v>
      </c>
      <c r="C499" s="6" t="str">
        <f>INDEX(Instrument_Type, MATCH(B499,Position_ID,0),0)</f>
        <v>Floater</v>
      </c>
      <c r="D499" s="27"/>
    </row>
    <row r="500" spans="1:4" x14ac:dyDescent="0.35">
      <c r="A500" s="11">
        <v>43235</v>
      </c>
      <c r="B500" s="9">
        <v>5</v>
      </c>
      <c r="C500" s="6" t="str">
        <f>INDEX(Instrument_Type, MATCH(B500,Position_ID,0),0)</f>
        <v>Floater</v>
      </c>
      <c r="D500" s="27"/>
    </row>
    <row r="501" spans="1:4" x14ac:dyDescent="0.35">
      <c r="A501" s="11">
        <v>43236</v>
      </c>
      <c r="B501" s="9">
        <v>5</v>
      </c>
      <c r="C501" s="6" t="str">
        <f>INDEX(Instrument_Type, MATCH(B501,Position_ID,0),0)</f>
        <v>Floater</v>
      </c>
      <c r="D501" s="27"/>
    </row>
    <row r="502" spans="1:4" x14ac:dyDescent="0.35">
      <c r="A502" s="11"/>
      <c r="B502" s="9"/>
      <c r="C502" s="6"/>
      <c r="D502" s="13"/>
    </row>
    <row r="503" spans="1:4" x14ac:dyDescent="0.35">
      <c r="A503" s="11"/>
      <c r="B503" s="9"/>
      <c r="C503" s="6"/>
      <c r="D503" s="13"/>
    </row>
    <row r="504" spans="1:4" x14ac:dyDescent="0.35">
      <c r="A504" s="1"/>
    </row>
    <row r="505" spans="1:4" x14ac:dyDescent="0.35">
      <c r="A505" s="1"/>
    </row>
    <row r="506" spans="1:4" x14ac:dyDescent="0.35">
      <c r="A506" s="1"/>
    </row>
    <row r="507" spans="1:4" x14ac:dyDescent="0.35">
      <c r="A507" s="1"/>
    </row>
    <row r="508" spans="1:4" x14ac:dyDescent="0.35">
      <c r="A508" s="1"/>
    </row>
    <row r="509" spans="1:4" x14ac:dyDescent="0.35">
      <c r="A509" s="1"/>
    </row>
    <row r="510" spans="1:4" x14ac:dyDescent="0.35">
      <c r="A510" s="1"/>
    </row>
    <row r="511" spans="1:4" x14ac:dyDescent="0.35">
      <c r="A511" s="1"/>
    </row>
    <row r="512" spans="1:4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8"/>
  <sheetViews>
    <sheetView showGridLines="0" zoomScale="130" zoomScaleNormal="130" workbookViewId="0">
      <selection activeCell="F6" sqref="F6"/>
    </sheetView>
  </sheetViews>
  <sheetFormatPr defaultRowHeight="14.5" x14ac:dyDescent="0.35"/>
  <cols>
    <col min="1" max="1" width="10.7265625" bestFit="1" customWidth="1"/>
    <col min="3" max="3" width="11.26953125" bestFit="1" customWidth="1"/>
  </cols>
  <sheetData>
    <row r="1" spans="1:3" x14ac:dyDescent="0.35">
      <c r="A1" s="12" t="s">
        <v>0</v>
      </c>
      <c r="B1" s="12" t="s">
        <v>1</v>
      </c>
      <c r="C1" s="12" t="s">
        <v>2</v>
      </c>
    </row>
    <row r="2" spans="1:3" x14ac:dyDescent="0.35">
      <c r="A2" s="10"/>
      <c r="B2" s="4"/>
      <c r="C2" s="17"/>
    </row>
    <row r="3" spans="1:3" x14ac:dyDescent="0.35">
      <c r="A3" s="10"/>
      <c r="B3" s="4"/>
      <c r="C3" s="17"/>
    </row>
    <row r="4" spans="1:3" x14ac:dyDescent="0.35">
      <c r="A4" s="10"/>
      <c r="B4" s="4"/>
      <c r="C4" s="17"/>
    </row>
    <row r="5" spans="1:3" x14ac:dyDescent="0.35">
      <c r="A5" s="10"/>
      <c r="B5" s="4"/>
      <c r="C5" s="17"/>
    </row>
    <row r="6" spans="1:3" x14ac:dyDescent="0.35">
      <c r="A6" s="10"/>
      <c r="B6" s="4"/>
      <c r="C6" s="17"/>
    </row>
    <row r="7" spans="1:3" x14ac:dyDescent="0.35">
      <c r="A7" s="10"/>
      <c r="B7" s="4"/>
      <c r="C7" s="17"/>
    </row>
    <row r="8" spans="1:3" x14ac:dyDescent="0.35">
      <c r="A8" s="10"/>
      <c r="B8" s="4"/>
      <c r="C8" s="17"/>
    </row>
    <row r="9" spans="1:3" x14ac:dyDescent="0.35">
      <c r="A9" s="10"/>
      <c r="B9" s="4"/>
      <c r="C9" s="17"/>
    </row>
    <row r="10" spans="1:3" x14ac:dyDescent="0.35">
      <c r="A10" s="10"/>
      <c r="B10" s="4"/>
      <c r="C10" s="17"/>
    </row>
    <row r="11" spans="1:3" x14ac:dyDescent="0.35">
      <c r="A11" s="10"/>
      <c r="B11" s="4"/>
      <c r="C11" s="17"/>
    </row>
    <row r="12" spans="1:3" x14ac:dyDescent="0.35">
      <c r="A12" s="10"/>
      <c r="B12" s="4"/>
      <c r="C12" s="17"/>
    </row>
    <row r="13" spans="1:3" x14ac:dyDescent="0.35">
      <c r="A13" s="10"/>
      <c r="B13" s="4"/>
      <c r="C13" s="17"/>
    </row>
    <row r="14" spans="1:3" x14ac:dyDescent="0.35">
      <c r="A14" s="10"/>
      <c r="B14" s="4"/>
      <c r="C14" s="17"/>
    </row>
    <row r="15" spans="1:3" x14ac:dyDescent="0.35">
      <c r="A15" s="10"/>
      <c r="B15" s="4"/>
      <c r="C15" s="17"/>
    </row>
    <row r="16" spans="1:3" x14ac:dyDescent="0.35">
      <c r="A16" s="10"/>
      <c r="B16" s="4"/>
      <c r="C16" s="17"/>
    </row>
    <row r="17" spans="1:3" x14ac:dyDescent="0.35">
      <c r="A17" s="10"/>
      <c r="B17" s="4"/>
      <c r="C17" s="17"/>
    </row>
    <row r="18" spans="1:3" x14ac:dyDescent="0.35">
      <c r="A18" s="10"/>
      <c r="B18" s="4"/>
      <c r="C18" s="17"/>
    </row>
    <row r="19" spans="1:3" x14ac:dyDescent="0.35">
      <c r="A19" s="10"/>
      <c r="B19" s="4"/>
      <c r="C19" s="17"/>
    </row>
    <row r="20" spans="1:3" x14ac:dyDescent="0.35">
      <c r="A20" s="10"/>
      <c r="B20" s="4"/>
      <c r="C20" s="17"/>
    </row>
    <row r="21" spans="1:3" x14ac:dyDescent="0.35">
      <c r="A21" s="10"/>
      <c r="B21" s="4"/>
      <c r="C21" s="17"/>
    </row>
    <row r="22" spans="1:3" x14ac:dyDescent="0.35">
      <c r="A22" s="10"/>
      <c r="B22" s="4"/>
      <c r="C22" s="17"/>
    </row>
    <row r="23" spans="1:3" x14ac:dyDescent="0.35">
      <c r="A23" s="10"/>
      <c r="B23" s="4"/>
      <c r="C23" s="17"/>
    </row>
    <row r="24" spans="1:3" x14ac:dyDescent="0.35">
      <c r="A24" s="10"/>
      <c r="B24" s="4"/>
      <c r="C24" s="17"/>
    </row>
    <row r="25" spans="1:3" x14ac:dyDescent="0.35">
      <c r="A25" s="10"/>
      <c r="B25" s="4"/>
      <c r="C25" s="17"/>
    </row>
    <row r="26" spans="1:3" x14ac:dyDescent="0.35">
      <c r="A26" s="10"/>
      <c r="B26" s="4"/>
      <c r="C26" s="17"/>
    </row>
    <row r="27" spans="1:3" x14ac:dyDescent="0.35">
      <c r="A27" s="10"/>
      <c r="B27" s="4"/>
      <c r="C27" s="17"/>
    </row>
    <row r="28" spans="1:3" x14ac:dyDescent="0.35">
      <c r="A28" s="10"/>
      <c r="B28" s="4"/>
      <c r="C28" s="17"/>
    </row>
    <row r="29" spans="1:3" x14ac:dyDescent="0.35">
      <c r="A29" s="10"/>
      <c r="B29" s="4"/>
      <c r="C29" s="17"/>
    </row>
    <row r="30" spans="1:3" x14ac:dyDescent="0.35">
      <c r="A30" s="10"/>
      <c r="B30" s="4"/>
      <c r="C30" s="17"/>
    </row>
    <row r="31" spans="1:3" x14ac:dyDescent="0.35">
      <c r="A31" s="10"/>
      <c r="B31" s="4"/>
      <c r="C31" s="17"/>
    </row>
    <row r="32" spans="1:3" x14ac:dyDescent="0.35">
      <c r="A32" s="10"/>
      <c r="B32" s="4"/>
      <c r="C32" s="17"/>
    </row>
    <row r="33" spans="1:3" x14ac:dyDescent="0.35">
      <c r="A33" s="10"/>
      <c r="B33" s="4"/>
      <c r="C33" s="17"/>
    </row>
    <row r="34" spans="1:3" x14ac:dyDescent="0.35">
      <c r="A34" s="10"/>
      <c r="B34" s="4"/>
      <c r="C34" s="17"/>
    </row>
    <row r="35" spans="1:3" x14ac:dyDescent="0.35">
      <c r="A35" s="10"/>
      <c r="B35" s="4"/>
      <c r="C35" s="17"/>
    </row>
    <row r="36" spans="1:3" x14ac:dyDescent="0.35">
      <c r="A36" s="10"/>
      <c r="B36" s="4"/>
      <c r="C36" s="17"/>
    </row>
    <row r="37" spans="1:3" x14ac:dyDescent="0.35">
      <c r="A37" s="10"/>
      <c r="B37" s="4"/>
      <c r="C37" s="17"/>
    </row>
    <row r="38" spans="1:3" x14ac:dyDescent="0.35">
      <c r="A38" s="10"/>
      <c r="B38" s="4"/>
      <c r="C38" s="17"/>
    </row>
    <row r="39" spans="1:3" x14ac:dyDescent="0.35">
      <c r="A39" s="10"/>
      <c r="B39" s="4"/>
      <c r="C39" s="17"/>
    </row>
    <row r="40" spans="1:3" x14ac:dyDescent="0.35">
      <c r="A40" s="10"/>
      <c r="B40" s="4"/>
      <c r="C40" s="17"/>
    </row>
    <row r="41" spans="1:3" x14ac:dyDescent="0.35">
      <c r="A41" s="10"/>
      <c r="B41" s="4"/>
      <c r="C41" s="17"/>
    </row>
    <row r="42" spans="1:3" x14ac:dyDescent="0.35">
      <c r="A42" s="10"/>
      <c r="B42" s="4"/>
      <c r="C42" s="17"/>
    </row>
    <row r="43" spans="1:3" x14ac:dyDescent="0.35">
      <c r="A43" s="10"/>
      <c r="B43" s="4"/>
      <c r="C43" s="17"/>
    </row>
    <row r="44" spans="1:3" x14ac:dyDescent="0.35">
      <c r="A44" s="10"/>
      <c r="B44" s="4"/>
      <c r="C44" s="17"/>
    </row>
    <row r="45" spans="1:3" x14ac:dyDescent="0.35">
      <c r="A45" s="10"/>
      <c r="B45" s="4"/>
      <c r="C45" s="17"/>
    </row>
    <row r="46" spans="1:3" x14ac:dyDescent="0.35">
      <c r="A46" s="10"/>
      <c r="B46" s="4"/>
      <c r="C46" s="17"/>
    </row>
    <row r="47" spans="1:3" x14ac:dyDescent="0.35">
      <c r="A47" s="10"/>
      <c r="B47" s="4"/>
      <c r="C47" s="17"/>
    </row>
    <row r="48" spans="1:3" x14ac:dyDescent="0.35">
      <c r="A48" s="10"/>
      <c r="B48" s="4"/>
      <c r="C48" s="17"/>
    </row>
    <row r="49" spans="1:3" x14ac:dyDescent="0.35">
      <c r="A49" s="10"/>
      <c r="B49" s="4"/>
      <c r="C49" s="17"/>
    </row>
    <row r="50" spans="1:3" x14ac:dyDescent="0.35">
      <c r="A50" s="10"/>
      <c r="B50" s="4"/>
      <c r="C50" s="17"/>
    </row>
    <row r="51" spans="1:3" x14ac:dyDescent="0.35">
      <c r="A51" s="10"/>
      <c r="B51" s="4"/>
      <c r="C51" s="17"/>
    </row>
    <row r="52" spans="1:3" x14ac:dyDescent="0.35">
      <c r="A52" s="10"/>
      <c r="B52" s="4"/>
      <c r="C52" s="17"/>
    </row>
    <row r="53" spans="1:3" x14ac:dyDescent="0.35">
      <c r="A53" s="10"/>
      <c r="B53" s="4"/>
      <c r="C53" s="17"/>
    </row>
    <row r="54" spans="1:3" x14ac:dyDescent="0.35">
      <c r="A54" s="10"/>
      <c r="B54" s="4"/>
      <c r="C54" s="17"/>
    </row>
    <row r="55" spans="1:3" x14ac:dyDescent="0.35">
      <c r="A55" s="10"/>
      <c r="B55" s="4"/>
      <c r="C55" s="17"/>
    </row>
    <row r="56" spans="1:3" x14ac:dyDescent="0.35">
      <c r="A56" s="10"/>
      <c r="B56" s="4"/>
      <c r="C56" s="17"/>
    </row>
    <row r="57" spans="1:3" x14ac:dyDescent="0.35">
      <c r="A57" s="10"/>
      <c r="B57" s="4"/>
      <c r="C57" s="17"/>
    </row>
    <row r="58" spans="1:3" x14ac:dyDescent="0.35">
      <c r="A58" s="10"/>
      <c r="B58" s="4"/>
      <c r="C58" s="17"/>
    </row>
    <row r="59" spans="1:3" x14ac:dyDescent="0.35">
      <c r="A59" s="10"/>
      <c r="B59" s="4"/>
      <c r="C59" s="17"/>
    </row>
    <row r="60" spans="1:3" x14ac:dyDescent="0.35">
      <c r="A60" s="10"/>
      <c r="B60" s="4"/>
      <c r="C60" s="17"/>
    </row>
    <row r="61" spans="1:3" x14ac:dyDescent="0.35">
      <c r="A61" s="10"/>
      <c r="B61" s="4"/>
      <c r="C61" s="17"/>
    </row>
    <row r="62" spans="1:3" x14ac:dyDescent="0.35">
      <c r="A62" s="10"/>
      <c r="B62" s="4"/>
      <c r="C62" s="17"/>
    </row>
    <row r="63" spans="1:3" x14ac:dyDescent="0.35">
      <c r="A63" s="10"/>
      <c r="B63" s="4"/>
      <c r="C63" s="17"/>
    </row>
    <row r="64" spans="1:3" x14ac:dyDescent="0.35">
      <c r="A64" s="10"/>
      <c r="B64" s="4"/>
      <c r="C64" s="17"/>
    </row>
    <row r="65" spans="1:3" x14ac:dyDescent="0.35">
      <c r="A65" s="10"/>
      <c r="B65" s="4"/>
      <c r="C65" s="17"/>
    </row>
    <row r="66" spans="1:3" x14ac:dyDescent="0.35">
      <c r="A66" s="10"/>
      <c r="B66" s="4"/>
      <c r="C66" s="17"/>
    </row>
    <row r="67" spans="1:3" x14ac:dyDescent="0.35">
      <c r="A67" s="10"/>
      <c r="B67" s="4"/>
      <c r="C67" s="17"/>
    </row>
    <row r="68" spans="1:3" x14ac:dyDescent="0.35">
      <c r="A68" s="10"/>
      <c r="B68" s="4"/>
      <c r="C68" s="17"/>
    </row>
    <row r="69" spans="1:3" x14ac:dyDescent="0.35">
      <c r="A69" s="10"/>
      <c r="B69" s="4"/>
      <c r="C69" s="17"/>
    </row>
    <row r="70" spans="1:3" x14ac:dyDescent="0.35">
      <c r="A70" s="10"/>
      <c r="B70" s="4"/>
      <c r="C70" s="17"/>
    </row>
    <row r="71" spans="1:3" x14ac:dyDescent="0.35">
      <c r="A71" s="10"/>
      <c r="B71" s="4"/>
      <c r="C71" s="17"/>
    </row>
    <row r="72" spans="1:3" x14ac:dyDescent="0.35">
      <c r="A72" s="10"/>
      <c r="B72" s="4"/>
      <c r="C72" s="17"/>
    </row>
    <row r="73" spans="1:3" x14ac:dyDescent="0.35">
      <c r="A73" s="10"/>
      <c r="B73" s="4"/>
      <c r="C73" s="17"/>
    </row>
    <row r="74" spans="1:3" x14ac:dyDescent="0.35">
      <c r="A74" s="10"/>
      <c r="B74" s="4"/>
      <c r="C74" s="17"/>
    </row>
    <row r="75" spans="1:3" x14ac:dyDescent="0.35">
      <c r="A75" s="10"/>
      <c r="B75" s="4"/>
      <c r="C75" s="17"/>
    </row>
    <row r="76" spans="1:3" x14ac:dyDescent="0.35">
      <c r="A76" s="10"/>
      <c r="B76" s="4"/>
      <c r="C76" s="17"/>
    </row>
    <row r="77" spans="1:3" x14ac:dyDescent="0.35">
      <c r="A77" s="10"/>
      <c r="B77" s="4"/>
      <c r="C77" s="17"/>
    </row>
    <row r="78" spans="1:3" x14ac:dyDescent="0.35">
      <c r="A78" s="10"/>
      <c r="B78" s="4"/>
      <c r="C78" s="17"/>
    </row>
    <row r="79" spans="1:3" x14ac:dyDescent="0.35">
      <c r="A79" s="10"/>
      <c r="B79" s="4"/>
      <c r="C79" s="17"/>
    </row>
    <row r="80" spans="1:3" x14ac:dyDescent="0.35">
      <c r="A80" s="10"/>
      <c r="B80" s="4"/>
      <c r="C80" s="17"/>
    </row>
    <row r="81" spans="1:3" x14ac:dyDescent="0.35">
      <c r="A81" s="10"/>
      <c r="B81" s="4"/>
      <c r="C81" s="17"/>
    </row>
    <row r="82" spans="1:3" x14ac:dyDescent="0.35">
      <c r="A82" s="10"/>
      <c r="B82" s="4"/>
      <c r="C82" s="17"/>
    </row>
    <row r="83" spans="1:3" x14ac:dyDescent="0.35">
      <c r="A83" s="10"/>
      <c r="B83" s="4"/>
      <c r="C83" s="17"/>
    </row>
    <row r="84" spans="1:3" x14ac:dyDescent="0.35">
      <c r="A84" s="10"/>
      <c r="B84" s="4"/>
      <c r="C84" s="17"/>
    </row>
    <row r="85" spans="1:3" x14ac:dyDescent="0.35">
      <c r="A85" s="10"/>
      <c r="B85" s="4"/>
      <c r="C85" s="17"/>
    </row>
    <row r="86" spans="1:3" x14ac:dyDescent="0.35">
      <c r="A86" s="10"/>
      <c r="B86" s="4"/>
      <c r="C86" s="17"/>
    </row>
    <row r="87" spans="1:3" x14ac:dyDescent="0.35">
      <c r="A87" s="10"/>
      <c r="B87" s="4"/>
      <c r="C87" s="17"/>
    </row>
    <row r="88" spans="1:3" x14ac:dyDescent="0.35">
      <c r="A88" s="10"/>
      <c r="B88" s="4"/>
      <c r="C88" s="17"/>
    </row>
    <row r="89" spans="1:3" x14ac:dyDescent="0.35">
      <c r="A89" s="10"/>
      <c r="B89" s="4"/>
      <c r="C89" s="17"/>
    </row>
    <row r="90" spans="1:3" x14ac:dyDescent="0.35">
      <c r="A90" s="10"/>
      <c r="B90" s="4"/>
      <c r="C90" s="17"/>
    </row>
    <row r="91" spans="1:3" x14ac:dyDescent="0.35">
      <c r="A91" s="10"/>
      <c r="B91" s="4"/>
      <c r="C91" s="17"/>
    </row>
    <row r="92" spans="1:3" x14ac:dyDescent="0.35">
      <c r="A92" s="10"/>
      <c r="B92" s="4"/>
      <c r="C92" s="17"/>
    </row>
    <row r="93" spans="1:3" x14ac:dyDescent="0.35">
      <c r="A93" s="10"/>
      <c r="B93" s="4"/>
      <c r="C93" s="17"/>
    </row>
    <row r="94" spans="1:3" x14ac:dyDescent="0.35">
      <c r="A94" s="10"/>
      <c r="B94" s="4"/>
      <c r="C94" s="17"/>
    </row>
    <row r="95" spans="1:3" x14ac:dyDescent="0.35">
      <c r="A95" s="10"/>
      <c r="B95" s="4"/>
      <c r="C95" s="17"/>
    </row>
    <row r="96" spans="1:3" x14ac:dyDescent="0.35">
      <c r="A96" s="10"/>
      <c r="B96" s="4"/>
      <c r="C96" s="17"/>
    </row>
    <row r="97" spans="1:3" x14ac:dyDescent="0.35">
      <c r="A97" s="10"/>
      <c r="B97" s="4"/>
      <c r="C97" s="17"/>
    </row>
    <row r="98" spans="1:3" x14ac:dyDescent="0.35">
      <c r="A98" s="10"/>
      <c r="B98" s="4"/>
      <c r="C98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103"/>
  <sheetViews>
    <sheetView showGridLines="0" zoomScale="124" zoomScaleNormal="39" workbookViewId="0">
      <selection activeCell="B14" sqref="B14"/>
    </sheetView>
  </sheetViews>
  <sheetFormatPr defaultRowHeight="14.5" x14ac:dyDescent="0.35"/>
  <cols>
    <col min="1" max="1" width="9.453125" bestFit="1" customWidth="1"/>
    <col min="2" max="2" width="8.81640625" bestFit="1" customWidth="1"/>
    <col min="4" max="6" width="8.81640625" bestFit="1" customWidth="1"/>
    <col min="7" max="7" width="10.36328125" hidden="1" customWidth="1"/>
  </cols>
  <sheetData>
    <row r="1" spans="1:7" x14ac:dyDescent="0.35">
      <c r="D1" s="6" t="s">
        <v>32</v>
      </c>
      <c r="E1" s="7">
        <v>360</v>
      </c>
    </row>
    <row r="3" spans="1:7" x14ac:dyDescent="0.35">
      <c r="A3" s="14" t="s">
        <v>23</v>
      </c>
      <c r="B3" s="3" t="s">
        <v>24</v>
      </c>
      <c r="D3" s="3" t="s">
        <v>23</v>
      </c>
      <c r="E3" s="3" t="s">
        <v>25</v>
      </c>
      <c r="F3" s="3" t="s">
        <v>26</v>
      </c>
    </row>
    <row r="4" spans="1:7" x14ac:dyDescent="0.35">
      <c r="A4" s="22">
        <v>8.3333333333333329E-2</v>
      </c>
      <c r="B4" s="5">
        <v>1.7000000000000001E-2</v>
      </c>
      <c r="D4" s="16">
        <f t="array" ref="D4:E103">Interpolate($A$4:$B$14,$E$1)</f>
        <v>2.7777777777777779E-3</v>
      </c>
      <c r="E4" s="8">
        <v>0</v>
      </c>
      <c r="F4" s="8">
        <f>forwardRate($E$1,0,D4,0,E4)</f>
        <v>0</v>
      </c>
      <c r="G4" s="15">
        <v>43096</v>
      </c>
    </row>
    <row r="5" spans="1:7" x14ac:dyDescent="0.35">
      <c r="A5" s="22">
        <v>0.25</v>
      </c>
      <c r="B5" s="5">
        <v>1.9299999999999998E-2</v>
      </c>
      <c r="D5" s="16">
        <v>5.5555555555555558E-3</v>
      </c>
      <c r="E5" s="8">
        <v>5.8620689655172417E-4</v>
      </c>
      <c r="F5" s="8">
        <f>forwardRate($E$1,D4,D5,E4,E5)</f>
        <v>1.1724147476055435E-3</v>
      </c>
      <c r="G5" s="15">
        <v>43097</v>
      </c>
    </row>
    <row r="6" spans="1:7" x14ac:dyDescent="0.35">
      <c r="A6" s="22">
        <v>0.5</v>
      </c>
      <c r="B6" s="5">
        <v>2.0899999999999998E-2</v>
      </c>
      <c r="D6" s="16">
        <v>8.3333333333333332E-3</v>
      </c>
      <c r="E6" s="8">
        <v>1.1724137931034483E-3</v>
      </c>
      <c r="F6" s="8">
        <f t="shared" ref="F6:F69" si="0">forwardRate($E$1,D5,D6,E5,E6)</f>
        <v>2.3448304498317274E-3</v>
      </c>
      <c r="G6" s="15">
        <v>43098</v>
      </c>
    </row>
    <row r="7" spans="1:7" x14ac:dyDescent="0.35">
      <c r="A7" s="22">
        <v>1</v>
      </c>
      <c r="B7" s="5">
        <v>2.2799999999999997E-2</v>
      </c>
      <c r="D7" s="16">
        <v>1.1111111111111112E-2</v>
      </c>
      <c r="E7" s="8">
        <v>1.7586206896551726E-3</v>
      </c>
      <c r="F7" s="8">
        <f t="shared" si="0"/>
        <v>3.5172471066170475E-3</v>
      </c>
      <c r="G7" s="15">
        <v>43102</v>
      </c>
    </row>
    <row r="8" spans="1:7" x14ac:dyDescent="0.35">
      <c r="A8" s="22">
        <v>2</v>
      </c>
      <c r="B8" s="5">
        <v>2.5499999999999998E-2</v>
      </c>
      <c r="D8" s="16">
        <v>1.3888888888888888E-2</v>
      </c>
      <c r="E8" s="8">
        <v>2.3448275862068967E-3</v>
      </c>
      <c r="F8" s="8">
        <f t="shared" si="0"/>
        <v>4.6896647177799575E-3</v>
      </c>
      <c r="G8" s="15">
        <v>43103</v>
      </c>
    </row>
    <row r="9" spans="1:7" x14ac:dyDescent="0.35">
      <c r="A9" s="22">
        <v>3</v>
      </c>
      <c r="B9" s="5">
        <v>2.7000000000000003E-2</v>
      </c>
      <c r="D9" s="16">
        <v>1.6666666666666666E-2</v>
      </c>
      <c r="E9" s="8">
        <v>2.9310344827586207E-3</v>
      </c>
      <c r="F9" s="8">
        <f t="shared" si="0"/>
        <v>5.8620832837119365E-3</v>
      </c>
      <c r="G9" s="15">
        <v>43104</v>
      </c>
    </row>
    <row r="10" spans="1:7" x14ac:dyDescent="0.35">
      <c r="A10" s="22">
        <v>5</v>
      </c>
      <c r="B10" s="5">
        <v>2.8500000000000001E-2</v>
      </c>
      <c r="D10" s="16">
        <v>1.9444444444444445E-2</v>
      </c>
      <c r="E10" s="8">
        <v>3.5172413793103448E-3</v>
      </c>
      <c r="F10" s="8">
        <f t="shared" si="0"/>
        <v>7.0345028045511269E-3</v>
      </c>
      <c r="G10" s="15">
        <v>43105</v>
      </c>
    </row>
    <row r="11" spans="1:7" x14ac:dyDescent="0.35">
      <c r="A11" s="22">
        <v>7</v>
      </c>
      <c r="B11" s="5">
        <v>2.9600000000000001E-2</v>
      </c>
      <c r="D11" s="16">
        <v>2.2222222222222223E-2</v>
      </c>
      <c r="E11" s="8">
        <v>4.1034482758620693E-3</v>
      </c>
      <c r="F11" s="8">
        <f t="shared" si="0"/>
        <v>8.206923278956918E-3</v>
      </c>
      <c r="G11" s="15">
        <v>43108</v>
      </c>
    </row>
    <row r="12" spans="1:7" x14ac:dyDescent="0.35">
      <c r="A12" s="22">
        <v>10</v>
      </c>
      <c r="B12" s="5">
        <v>0.03</v>
      </c>
      <c r="D12" s="16">
        <v>2.5000000000000001E-2</v>
      </c>
      <c r="E12" s="8">
        <v>4.6896551724137934E-3</v>
      </c>
      <c r="F12" s="8">
        <f t="shared" si="0"/>
        <v>9.3793447083995399E-3</v>
      </c>
      <c r="G12" s="15">
        <v>43109</v>
      </c>
    </row>
    <row r="13" spans="1:7" x14ac:dyDescent="0.35">
      <c r="A13" s="22">
        <v>20</v>
      </c>
      <c r="B13" s="5">
        <v>3.0600000000000002E-2</v>
      </c>
      <c r="D13" s="16">
        <v>2.7777777777777776E-2</v>
      </c>
      <c r="E13" s="8">
        <v>5.2758620689655174E-3</v>
      </c>
      <c r="F13" s="8">
        <f t="shared" si="0"/>
        <v>1.0551767092337247E-2</v>
      </c>
      <c r="G13" s="15">
        <v>43110</v>
      </c>
    </row>
    <row r="14" spans="1:7" x14ac:dyDescent="0.35">
      <c r="A14" s="22">
        <v>30</v>
      </c>
      <c r="B14" s="5">
        <v>3.1300000000000001E-2</v>
      </c>
      <c r="D14" s="16">
        <v>3.0555555555555555E-2</v>
      </c>
      <c r="E14" s="8">
        <v>5.8620689655172415E-3</v>
      </c>
      <c r="F14" s="8">
        <f t="shared" si="0"/>
        <v>1.1724190430748117E-2</v>
      </c>
      <c r="G14" s="15">
        <v>43111</v>
      </c>
    </row>
    <row r="15" spans="1:7" x14ac:dyDescent="0.35">
      <c r="A15" s="15"/>
      <c r="B15" t="s">
        <v>31</v>
      </c>
      <c r="D15" s="16">
        <v>3.3333333333333333E-2</v>
      </c>
      <c r="E15" s="8">
        <v>6.4482758620689655E-3</v>
      </c>
      <c r="F15" s="8">
        <f t="shared" si="0"/>
        <v>1.2896614723782056E-2</v>
      </c>
      <c r="G15" s="15">
        <v>43112</v>
      </c>
    </row>
    <row r="16" spans="1:7" x14ac:dyDescent="0.35">
      <c r="A16" s="15"/>
      <c r="D16" s="16">
        <v>3.6111111111111108E-2</v>
      </c>
      <c r="E16" s="8">
        <v>7.0344827586206896E-3</v>
      </c>
      <c r="F16" s="8">
        <f t="shared" si="0"/>
        <v>1.4069039971255769E-2</v>
      </c>
      <c r="G16" s="15">
        <v>43116</v>
      </c>
    </row>
    <row r="17" spans="4:7" x14ac:dyDescent="0.35">
      <c r="D17" s="16">
        <v>3.888888888888889E-2</v>
      </c>
      <c r="E17" s="8">
        <v>7.6206896551724137E-3</v>
      </c>
      <c r="F17" s="8">
        <f t="shared" si="0"/>
        <v>1.52414661733456E-2</v>
      </c>
      <c r="G17" s="15">
        <v>43117</v>
      </c>
    </row>
    <row r="18" spans="4:7" x14ac:dyDescent="0.35">
      <c r="D18" s="16">
        <v>4.1666666666666664E-2</v>
      </c>
      <c r="E18" s="8">
        <v>8.2068965517241386E-3</v>
      </c>
      <c r="F18" s="8">
        <f t="shared" si="0"/>
        <v>1.6413893329758567E-2</v>
      </c>
      <c r="G18" s="15">
        <v>43118</v>
      </c>
    </row>
    <row r="19" spans="4:7" x14ac:dyDescent="0.35">
      <c r="D19" s="16">
        <v>4.4444444444444446E-2</v>
      </c>
      <c r="E19" s="8">
        <v>8.7931034482758626E-3</v>
      </c>
      <c r="F19" s="8">
        <f t="shared" si="0"/>
        <v>1.7586321440909092E-2</v>
      </c>
      <c r="G19" s="15">
        <v>43119</v>
      </c>
    </row>
    <row r="20" spans="4:7" x14ac:dyDescent="0.35">
      <c r="D20" s="16">
        <v>4.7222222222222221E-2</v>
      </c>
      <c r="E20" s="8">
        <v>9.3793103448275867E-3</v>
      </c>
      <c r="F20" s="8">
        <f t="shared" si="0"/>
        <v>1.8758750506367623E-2</v>
      </c>
      <c r="G20" s="15">
        <v>43122</v>
      </c>
    </row>
    <row r="21" spans="4:7" x14ac:dyDescent="0.35">
      <c r="D21" s="16">
        <v>0.05</v>
      </c>
      <c r="E21" s="8">
        <v>9.9655172413793108E-3</v>
      </c>
      <c r="F21" s="8">
        <f t="shared" si="0"/>
        <v>1.9931180527876596E-2</v>
      </c>
      <c r="G21" s="15">
        <v>43123</v>
      </c>
    </row>
    <row r="22" spans="4:7" x14ac:dyDescent="0.35">
      <c r="D22" s="16">
        <v>5.2777777777777778E-2</v>
      </c>
      <c r="E22" s="8">
        <v>1.0551724137931035E-2</v>
      </c>
      <c r="F22" s="8">
        <f t="shared" si="0"/>
        <v>2.1103611501006519E-2</v>
      </c>
      <c r="G22" s="15">
        <v>43124</v>
      </c>
    </row>
    <row r="23" spans="4:7" x14ac:dyDescent="0.35">
      <c r="D23" s="16">
        <v>5.5555555555555552E-2</v>
      </c>
      <c r="E23" s="8">
        <v>1.1137931034482759E-2</v>
      </c>
      <c r="F23" s="8">
        <f t="shared" si="0"/>
        <v>2.2276043430157225E-2</v>
      </c>
      <c r="G23" s="15">
        <v>43125</v>
      </c>
    </row>
    <row r="24" spans="4:7" x14ac:dyDescent="0.35">
      <c r="D24" s="16">
        <v>5.8333333333333334E-2</v>
      </c>
      <c r="E24" s="8">
        <v>1.1724137931034483E-2</v>
      </c>
      <c r="F24" s="8">
        <f t="shared" si="0"/>
        <v>2.3448476313584318E-2</v>
      </c>
      <c r="G24" s="15">
        <v>43126</v>
      </c>
    </row>
    <row r="25" spans="4:7" x14ac:dyDescent="0.35">
      <c r="D25" s="16">
        <v>6.1111111111111109E-2</v>
      </c>
      <c r="E25" s="8">
        <v>1.2310344827586207E-2</v>
      </c>
      <c r="F25" s="8">
        <f t="shared" si="0"/>
        <v>2.4620910151601359E-2</v>
      </c>
      <c r="G25" s="15">
        <v>43129</v>
      </c>
    </row>
    <row r="26" spans="4:7" x14ac:dyDescent="0.35">
      <c r="D26" s="16">
        <v>6.3888888888888884E-2</v>
      </c>
      <c r="E26" s="8">
        <v>1.2896551724137931E-2</v>
      </c>
      <c r="F26" s="8">
        <f t="shared" si="0"/>
        <v>2.5793344944160596E-2</v>
      </c>
      <c r="G26" s="15">
        <v>43130</v>
      </c>
    </row>
    <row r="27" spans="4:7" x14ac:dyDescent="0.35">
      <c r="D27" s="16">
        <v>6.6666666666666666E-2</v>
      </c>
      <c r="E27" s="8">
        <v>1.3482758620689655E-2</v>
      </c>
      <c r="F27" s="8">
        <f t="shared" si="0"/>
        <v>2.6965780691140129E-2</v>
      </c>
      <c r="G27" s="15">
        <v>43131</v>
      </c>
    </row>
    <row r="28" spans="4:7" x14ac:dyDescent="0.35">
      <c r="D28" s="16">
        <v>6.9444444444444448E-2</v>
      </c>
      <c r="E28" s="8">
        <v>1.4068965517241379E-2</v>
      </c>
      <c r="F28" s="8">
        <f t="shared" si="0"/>
        <v>2.8138217392556251E-2</v>
      </c>
      <c r="G28" s="15">
        <v>43132</v>
      </c>
    </row>
    <row r="29" spans="4:7" x14ac:dyDescent="0.35">
      <c r="D29" s="16">
        <v>7.2222222222222215E-2</v>
      </c>
      <c r="E29" s="8">
        <v>1.4655172413793103E-2</v>
      </c>
      <c r="F29" s="8">
        <f t="shared" si="0"/>
        <v>2.9310655048537724E-2</v>
      </c>
      <c r="G29" s="15">
        <v>43133</v>
      </c>
    </row>
    <row r="30" spans="4:7" x14ac:dyDescent="0.35">
      <c r="D30" s="16">
        <v>7.4999999999999997E-2</v>
      </c>
      <c r="E30" s="8">
        <v>1.5241379310344827E-2</v>
      </c>
      <c r="F30" s="8">
        <f t="shared" si="0"/>
        <v>3.0483093658902883E-2</v>
      </c>
      <c r="G30" s="15">
        <v>43136</v>
      </c>
    </row>
    <row r="31" spans="4:7" x14ac:dyDescent="0.35">
      <c r="D31" s="16">
        <v>7.7777777777777779E-2</v>
      </c>
      <c r="E31" s="8">
        <v>1.5827586206896553E-2</v>
      </c>
      <c r="F31" s="8">
        <f t="shared" si="0"/>
        <v>3.1655533223837691E-2</v>
      </c>
      <c r="G31" s="15">
        <v>43137</v>
      </c>
    </row>
    <row r="32" spans="4:7" x14ac:dyDescent="0.35">
      <c r="D32" s="16">
        <v>8.0555555555555561E-2</v>
      </c>
      <c r="E32" s="8">
        <v>1.6413793103448277E-2</v>
      </c>
      <c r="F32" s="8">
        <f t="shared" si="0"/>
        <v>3.2827973745557883E-2</v>
      </c>
      <c r="G32" s="15">
        <v>43138</v>
      </c>
    </row>
    <row r="33" spans="4:7" x14ac:dyDescent="0.35">
      <c r="D33" s="16">
        <v>8.3333333333333329E-2</v>
      </c>
      <c r="E33" s="8">
        <v>1.7000000000000001E-2</v>
      </c>
      <c r="F33" s="8">
        <f t="shared" si="0"/>
        <v>3.4000415217095008E-2</v>
      </c>
      <c r="G33" s="15">
        <v>43139</v>
      </c>
    </row>
    <row r="34" spans="4:7" x14ac:dyDescent="0.35">
      <c r="D34" s="16">
        <v>8.611111111111111E-2</v>
      </c>
      <c r="E34" s="8">
        <v>1.7038333333333336E-2</v>
      </c>
      <c r="F34" s="8">
        <f t="shared" si="0"/>
        <v>1.8188335230489138E-2</v>
      </c>
      <c r="G34" s="15">
        <v>43140</v>
      </c>
    </row>
    <row r="35" spans="4:7" x14ac:dyDescent="0.35">
      <c r="D35" s="16">
        <v>8.8888888888888892E-2</v>
      </c>
      <c r="E35" s="8">
        <v>1.7076666666666671E-2</v>
      </c>
      <c r="F35" s="8">
        <f t="shared" si="0"/>
        <v>1.8265002023614793E-2</v>
      </c>
      <c r="G35" s="15">
        <v>43143</v>
      </c>
    </row>
    <row r="36" spans="4:7" x14ac:dyDescent="0.35">
      <c r="D36" s="16">
        <v>9.166666666666666E-2</v>
      </c>
      <c r="E36" s="8">
        <v>1.7115000000000005E-2</v>
      </c>
      <c r="F36" s="8">
        <f t="shared" si="0"/>
        <v>1.8341668823550091E-2</v>
      </c>
      <c r="G36" s="15">
        <v>43144</v>
      </c>
    </row>
    <row r="37" spans="4:7" x14ac:dyDescent="0.35">
      <c r="D37" s="16">
        <v>9.4444444444444442E-2</v>
      </c>
      <c r="E37" s="8">
        <v>1.715333333333334E-2</v>
      </c>
      <c r="F37" s="8">
        <f t="shared" si="0"/>
        <v>1.8418335622274223E-2</v>
      </c>
      <c r="G37" s="15">
        <v>43145</v>
      </c>
    </row>
    <row r="38" spans="4:7" x14ac:dyDescent="0.35">
      <c r="D38" s="16">
        <v>9.7222222222222224E-2</v>
      </c>
      <c r="E38" s="8">
        <v>1.7191666666666675E-2</v>
      </c>
      <c r="F38" s="8">
        <f t="shared" si="0"/>
        <v>1.8495002427632048E-2</v>
      </c>
      <c r="G38" s="15">
        <v>43146</v>
      </c>
    </row>
    <row r="39" spans="4:7" x14ac:dyDescent="0.35">
      <c r="D39" s="16">
        <v>0.1</v>
      </c>
      <c r="E39" s="8">
        <v>1.7230000000000009E-2</v>
      </c>
      <c r="F39" s="8">
        <f t="shared" si="0"/>
        <v>1.8571669240035754E-2</v>
      </c>
      <c r="G39" s="15">
        <v>43147</v>
      </c>
    </row>
    <row r="40" spans="4:7" x14ac:dyDescent="0.35">
      <c r="D40" s="16">
        <v>0.10277777777777777</v>
      </c>
      <c r="E40" s="8">
        <v>1.7268333333333344E-2</v>
      </c>
      <c r="F40" s="8">
        <f t="shared" si="0"/>
        <v>1.8648336050785943E-2</v>
      </c>
      <c r="G40" s="15">
        <v>43151</v>
      </c>
    </row>
    <row r="41" spans="4:7" x14ac:dyDescent="0.35">
      <c r="D41" s="16">
        <v>0.10555555555555556</v>
      </c>
      <c r="E41" s="8">
        <v>1.7306666666666679E-2</v>
      </c>
      <c r="F41" s="8">
        <f t="shared" si="0"/>
        <v>1.8725002868411885E-2</v>
      </c>
      <c r="G41" s="15">
        <v>43152</v>
      </c>
    </row>
    <row r="42" spans="4:7" x14ac:dyDescent="0.35">
      <c r="D42" s="16">
        <v>0.10833333333333334</v>
      </c>
      <c r="E42" s="8">
        <v>1.7345000000000013E-2</v>
      </c>
      <c r="F42" s="8">
        <f t="shared" si="0"/>
        <v>1.8801669693204119E-2</v>
      </c>
      <c r="G42" s="15">
        <v>43153</v>
      </c>
    </row>
    <row r="43" spans="4:7" x14ac:dyDescent="0.35">
      <c r="D43" s="16">
        <v>0.1111111111111111</v>
      </c>
      <c r="E43" s="8">
        <v>1.7383333333333348E-2</v>
      </c>
      <c r="F43" s="8">
        <f t="shared" si="0"/>
        <v>1.8878336515948491E-2</v>
      </c>
      <c r="G43" s="15">
        <v>43154</v>
      </c>
    </row>
    <row r="44" spans="4:7" x14ac:dyDescent="0.35">
      <c r="D44" s="16">
        <v>0.11388888888888889</v>
      </c>
      <c r="E44" s="8">
        <v>1.7421666666666683E-2</v>
      </c>
      <c r="F44" s="8">
        <f t="shared" si="0"/>
        <v>1.8955003345932486E-2</v>
      </c>
      <c r="G44" s="15">
        <v>43157</v>
      </c>
    </row>
    <row r="45" spans="4:7" x14ac:dyDescent="0.35">
      <c r="D45" s="16">
        <v>0.11666666666666667</v>
      </c>
      <c r="E45" s="8">
        <v>1.7460000000000017E-2</v>
      </c>
      <c r="F45" s="8">
        <f t="shared" si="0"/>
        <v>1.90316701798178E-2</v>
      </c>
      <c r="G45" s="15">
        <v>43158</v>
      </c>
    </row>
    <row r="46" spans="4:7" x14ac:dyDescent="0.35">
      <c r="D46" s="16">
        <v>0.11944444444444445</v>
      </c>
      <c r="E46" s="8">
        <v>1.7498333333333352E-2</v>
      </c>
      <c r="F46" s="8">
        <f t="shared" si="0"/>
        <v>1.9108337021277878E-2</v>
      </c>
      <c r="G46" s="15">
        <v>43159</v>
      </c>
    </row>
    <row r="47" spans="4:7" x14ac:dyDescent="0.35">
      <c r="D47" s="16">
        <v>0.12222222222222222</v>
      </c>
      <c r="E47" s="8">
        <v>1.7536666666666683E-2</v>
      </c>
      <c r="F47" s="8">
        <f t="shared" si="0"/>
        <v>1.9185003860090401E-2</v>
      </c>
      <c r="G47" s="15">
        <v>43160</v>
      </c>
    </row>
    <row r="48" spans="4:7" x14ac:dyDescent="0.35">
      <c r="D48" s="16">
        <v>0.125</v>
      </c>
      <c r="E48" s="8">
        <v>1.7575000000000014E-2</v>
      </c>
      <c r="F48" s="8">
        <f t="shared" si="0"/>
        <v>1.9261670706286673E-2</v>
      </c>
      <c r="G48" s="15">
        <v>43161</v>
      </c>
    </row>
    <row r="49" spans="4:7" x14ac:dyDescent="0.35">
      <c r="D49" s="16">
        <v>0.12777777777777777</v>
      </c>
      <c r="E49" s="8">
        <v>1.7613333333333349E-2</v>
      </c>
      <c r="F49" s="8">
        <f t="shared" si="0"/>
        <v>1.9338337560224746E-2</v>
      </c>
      <c r="G49" s="15">
        <v>43164</v>
      </c>
    </row>
    <row r="50" spans="4:7" x14ac:dyDescent="0.35">
      <c r="D50" s="16">
        <v>0.13055555555555556</v>
      </c>
      <c r="E50" s="8">
        <v>1.7651666666666684E-2</v>
      </c>
      <c r="F50" s="8">
        <f t="shared" si="0"/>
        <v>1.941500441101204E-2</v>
      </c>
      <c r="G50" s="15">
        <v>43165</v>
      </c>
    </row>
    <row r="51" spans="4:7" x14ac:dyDescent="0.35">
      <c r="D51" s="16">
        <v>0.13333333333333333</v>
      </c>
      <c r="E51" s="8">
        <v>1.7690000000000015E-2</v>
      </c>
      <c r="F51" s="8">
        <f t="shared" si="0"/>
        <v>1.9491671269506655E-2</v>
      </c>
      <c r="G51" s="15">
        <v>43166</v>
      </c>
    </row>
    <row r="52" spans="4:7" x14ac:dyDescent="0.35">
      <c r="D52" s="16">
        <v>0.1361111111111111</v>
      </c>
      <c r="E52" s="8">
        <v>1.7728333333333346E-2</v>
      </c>
      <c r="F52" s="8">
        <f t="shared" si="0"/>
        <v>1.9568338135876648E-2</v>
      </c>
      <c r="G52" s="15">
        <v>43167</v>
      </c>
    </row>
    <row r="53" spans="4:7" x14ac:dyDescent="0.35">
      <c r="D53" s="16">
        <v>0.1388888888888889</v>
      </c>
      <c r="E53" s="8">
        <v>1.7766666666666681E-2</v>
      </c>
      <c r="F53" s="8">
        <f t="shared" si="0"/>
        <v>1.9645004998708193E-2</v>
      </c>
      <c r="G53" s="15">
        <v>43168</v>
      </c>
    </row>
    <row r="54" spans="4:7" x14ac:dyDescent="0.35">
      <c r="D54" s="16">
        <v>0.14166666666666666</v>
      </c>
      <c r="E54" s="8">
        <v>1.7805000000000015E-2</v>
      </c>
      <c r="F54" s="8">
        <f t="shared" si="0"/>
        <v>1.9721671869376685E-2</v>
      </c>
      <c r="G54" s="15">
        <v>43171</v>
      </c>
    </row>
    <row r="55" spans="4:7" x14ac:dyDescent="0.35">
      <c r="D55" s="16">
        <v>0.14444444444444443</v>
      </c>
      <c r="E55" s="8">
        <v>1.7843333333333346E-2</v>
      </c>
      <c r="F55" s="8">
        <f t="shared" si="0"/>
        <v>1.9798338748328918E-2</v>
      </c>
      <c r="G55" s="15">
        <v>43172</v>
      </c>
    </row>
    <row r="56" spans="4:7" x14ac:dyDescent="0.35">
      <c r="D56" s="16">
        <v>0.14722222222222223</v>
      </c>
      <c r="E56" s="8">
        <v>1.7881666666666678E-2</v>
      </c>
      <c r="F56" s="8">
        <f t="shared" si="0"/>
        <v>1.9875005623075953E-2</v>
      </c>
      <c r="G56" s="15">
        <v>43173</v>
      </c>
    </row>
    <row r="57" spans="4:7" x14ac:dyDescent="0.35">
      <c r="D57" s="16">
        <v>0.15</v>
      </c>
      <c r="E57" s="8">
        <v>1.7920000000000012E-2</v>
      </c>
      <c r="F57" s="8">
        <f t="shared" si="0"/>
        <v>1.9951672506067067E-2</v>
      </c>
      <c r="G57" s="15">
        <v>43174</v>
      </c>
    </row>
    <row r="58" spans="4:7" x14ac:dyDescent="0.35">
      <c r="D58" s="16">
        <v>0.15277777777777779</v>
      </c>
      <c r="E58" s="8">
        <v>1.7958333333333347E-2</v>
      </c>
      <c r="F58" s="8">
        <f t="shared" si="0"/>
        <v>2.0028339397471027E-2</v>
      </c>
      <c r="G58" s="15">
        <v>43175</v>
      </c>
    </row>
    <row r="59" spans="4:7" x14ac:dyDescent="0.35">
      <c r="D59" s="16">
        <v>0.15555555555555556</v>
      </c>
      <c r="E59" s="8">
        <v>1.7996666666666678E-2</v>
      </c>
      <c r="F59" s="8">
        <f t="shared" si="0"/>
        <v>2.010500628419418E-2</v>
      </c>
      <c r="G59" s="15">
        <v>43178</v>
      </c>
    </row>
    <row r="60" spans="4:7" x14ac:dyDescent="0.35">
      <c r="D60" s="16">
        <v>0.15833333333333333</v>
      </c>
      <c r="E60" s="8">
        <v>1.8035000000000009E-2</v>
      </c>
      <c r="F60" s="8">
        <f t="shared" si="0"/>
        <v>2.0181673179451687E-2</v>
      </c>
      <c r="G60" s="15">
        <v>43179</v>
      </c>
    </row>
    <row r="61" spans="4:7" x14ac:dyDescent="0.35">
      <c r="D61" s="16">
        <v>0.16111111111111112</v>
      </c>
      <c r="E61" s="8">
        <v>1.8073333333333344E-2</v>
      </c>
      <c r="F61" s="8">
        <f t="shared" si="0"/>
        <v>2.0258340083363281E-2</v>
      </c>
      <c r="G61" s="15">
        <v>43180</v>
      </c>
    </row>
    <row r="62" spans="4:7" x14ac:dyDescent="0.35">
      <c r="D62" s="16">
        <v>0.16388888888888889</v>
      </c>
      <c r="E62" s="8">
        <v>1.8111666666666679E-2</v>
      </c>
      <c r="F62" s="8">
        <f t="shared" si="0"/>
        <v>2.033500698208061E-2</v>
      </c>
      <c r="G62" s="15">
        <v>43181</v>
      </c>
    </row>
    <row r="63" spans="4:7" x14ac:dyDescent="0.35">
      <c r="D63" s="16">
        <v>0.16666666666666666</v>
      </c>
      <c r="E63" s="8">
        <v>1.815000000000001E-2</v>
      </c>
      <c r="F63" s="8">
        <f t="shared" si="0"/>
        <v>2.0411673889572317E-2</v>
      </c>
      <c r="G63" s="15">
        <v>43182</v>
      </c>
    </row>
    <row r="64" spans="4:7" x14ac:dyDescent="0.35">
      <c r="D64" s="16">
        <v>0.16944444444444445</v>
      </c>
      <c r="E64" s="6">
        <v>1.8188333333333341E-2</v>
      </c>
      <c r="F64" s="8">
        <f t="shared" si="0"/>
        <v>2.0488340805916366E-2</v>
      </c>
      <c r="G64" s="15">
        <v>43185</v>
      </c>
    </row>
    <row r="65" spans="4:7" x14ac:dyDescent="0.35">
      <c r="D65" s="16">
        <v>0.17222222222222222</v>
      </c>
      <c r="E65" s="6">
        <v>1.8226666666666676E-2</v>
      </c>
      <c r="F65" s="8">
        <f t="shared" si="0"/>
        <v>2.0565007716746679E-2</v>
      </c>
      <c r="G65" s="15">
        <v>43186</v>
      </c>
    </row>
    <row r="66" spans="4:7" x14ac:dyDescent="0.35">
      <c r="D66" s="16">
        <v>0.17499999999999999</v>
      </c>
      <c r="E66" s="6">
        <v>1.826500000000001E-2</v>
      </c>
      <c r="F66" s="8">
        <f t="shared" si="0"/>
        <v>2.064167463638613E-2</v>
      </c>
      <c r="G66" s="15">
        <v>43187</v>
      </c>
    </row>
    <row r="67" spans="4:7" x14ac:dyDescent="0.35">
      <c r="D67" s="16">
        <v>0.17777777777777778</v>
      </c>
      <c r="E67" s="6">
        <v>1.8303333333333342E-2</v>
      </c>
      <c r="F67" s="8">
        <f t="shared" si="0"/>
        <v>2.071834156526892E-2</v>
      </c>
      <c r="G67" s="15">
        <v>43188</v>
      </c>
    </row>
    <row r="68" spans="4:7" x14ac:dyDescent="0.35">
      <c r="D68" s="16">
        <v>0.18055555555555555</v>
      </c>
      <c r="E68" s="6">
        <v>1.8341666666666673E-2</v>
      </c>
      <c r="F68" s="8">
        <f t="shared" si="0"/>
        <v>2.0795008488112495E-2</v>
      </c>
      <c r="G68" s="15">
        <v>43192</v>
      </c>
    </row>
    <row r="69" spans="4:7" x14ac:dyDescent="0.35">
      <c r="D69" s="16">
        <v>0.18333333333333332</v>
      </c>
      <c r="E69" s="6">
        <v>1.8380000000000007E-2</v>
      </c>
      <c r="F69" s="8">
        <f t="shared" si="0"/>
        <v>2.0871675419991763E-2</v>
      </c>
      <c r="G69" s="15">
        <v>43193</v>
      </c>
    </row>
    <row r="70" spans="4:7" x14ac:dyDescent="0.35">
      <c r="D70" s="16">
        <v>0.18611111111111112</v>
      </c>
      <c r="E70" s="6">
        <v>1.8418333333333342E-2</v>
      </c>
      <c r="F70" s="8">
        <f t="shared" ref="F70:F103" si="1">forwardRate($E$1,D69,D70,E69,E70)</f>
        <v>2.0948342361298035E-2</v>
      </c>
      <c r="G70" s="15">
        <v>43194</v>
      </c>
    </row>
    <row r="71" spans="4:7" x14ac:dyDescent="0.35">
      <c r="D71" s="16">
        <v>0.18888888888888888</v>
      </c>
      <c r="E71" s="6">
        <v>1.8456666666666673E-2</v>
      </c>
      <c r="F71" s="8">
        <f t="shared" si="1"/>
        <v>2.1025009296151049E-2</v>
      </c>
      <c r="G71" s="15">
        <v>43195</v>
      </c>
    </row>
    <row r="72" spans="4:7" x14ac:dyDescent="0.35">
      <c r="D72" s="16">
        <v>0.19166666666666668</v>
      </c>
      <c r="E72" s="6">
        <v>1.8495000000000004E-2</v>
      </c>
      <c r="F72" s="8">
        <f t="shared" si="1"/>
        <v>2.1101676240378744E-2</v>
      </c>
      <c r="G72" s="15">
        <v>43196</v>
      </c>
    </row>
    <row r="73" spans="4:7" x14ac:dyDescent="0.35">
      <c r="D73" s="16">
        <v>0.19444444444444445</v>
      </c>
      <c r="E73" s="6">
        <v>1.8533333333333339E-2</v>
      </c>
      <c r="F73" s="8">
        <f t="shared" si="1"/>
        <v>2.11783431885064E-2</v>
      </c>
      <c r="G73" s="15">
        <v>43199</v>
      </c>
    </row>
    <row r="74" spans="4:7" x14ac:dyDescent="0.35">
      <c r="D74" s="16">
        <v>0.19722222222222222</v>
      </c>
      <c r="E74" s="6">
        <v>1.8571666666666674E-2</v>
      </c>
      <c r="F74" s="8">
        <f t="shared" si="1"/>
        <v>2.1255010146609767E-2</v>
      </c>
      <c r="G74" s="15">
        <v>43200</v>
      </c>
    </row>
    <row r="75" spans="4:7" x14ac:dyDescent="0.35">
      <c r="D75" s="16">
        <v>0.2</v>
      </c>
      <c r="E75" s="6">
        <v>1.8610000000000005E-2</v>
      </c>
      <c r="F75" s="8">
        <f t="shared" si="1"/>
        <v>2.1331677097326748E-2</v>
      </c>
      <c r="G75" s="15">
        <v>43201</v>
      </c>
    </row>
    <row r="76" spans="4:7" x14ac:dyDescent="0.35">
      <c r="D76" s="16">
        <v>0.20277777777777778</v>
      </c>
      <c r="E76" s="6">
        <v>1.8648333333333336E-2</v>
      </c>
      <c r="F76" s="8">
        <f t="shared" si="1"/>
        <v>2.1408344057843025E-2</v>
      </c>
      <c r="G76" s="15">
        <v>43202</v>
      </c>
    </row>
    <row r="77" spans="4:7" x14ac:dyDescent="0.35">
      <c r="D77" s="16">
        <v>0.20555555555555555</v>
      </c>
      <c r="E77" s="6">
        <v>1.8686666666666671E-2</v>
      </c>
      <c r="F77" s="8">
        <f t="shared" si="1"/>
        <v>2.1485011028374853E-2</v>
      </c>
      <c r="G77" s="15">
        <v>43203</v>
      </c>
    </row>
    <row r="78" spans="4:7" x14ac:dyDescent="0.35">
      <c r="D78" s="16">
        <v>0.20833333333333334</v>
      </c>
      <c r="E78" s="6">
        <v>1.8725000000000006E-2</v>
      </c>
      <c r="F78" s="8">
        <f t="shared" si="1"/>
        <v>2.1561677991200876E-2</v>
      </c>
      <c r="G78" s="15">
        <v>43206</v>
      </c>
    </row>
    <row r="79" spans="4:7" x14ac:dyDescent="0.35">
      <c r="D79" s="16">
        <v>0.21111111111111111</v>
      </c>
      <c r="E79" s="6">
        <v>1.8763333333333337E-2</v>
      </c>
      <c r="F79" s="8">
        <f t="shared" si="1"/>
        <v>2.1638344963857657E-2</v>
      </c>
      <c r="G79" s="15">
        <v>43207</v>
      </c>
    </row>
    <row r="80" spans="4:7" x14ac:dyDescent="0.35">
      <c r="D80" s="16">
        <v>0.21388888888888888</v>
      </c>
      <c r="E80" s="6">
        <v>1.8801666666666668E-2</v>
      </c>
      <c r="F80" s="8">
        <f t="shared" si="1"/>
        <v>2.1715011946915361E-2</v>
      </c>
      <c r="G80" s="15">
        <v>43208</v>
      </c>
    </row>
    <row r="81" spans="4:7" x14ac:dyDescent="0.35">
      <c r="D81" s="16">
        <v>0.21666666666666667</v>
      </c>
      <c r="E81" s="6">
        <v>1.8840000000000003E-2</v>
      </c>
      <c r="F81" s="8">
        <f t="shared" si="1"/>
        <v>2.1791678921655899E-2</v>
      </c>
      <c r="G81" s="15">
        <v>43209</v>
      </c>
    </row>
    <row r="82" spans="4:7" x14ac:dyDescent="0.35">
      <c r="D82" s="16">
        <v>0.21944444444444444</v>
      </c>
      <c r="E82" s="6">
        <v>1.8878333333333337E-2</v>
      </c>
      <c r="F82" s="8">
        <f t="shared" si="1"/>
        <v>2.1868345906682841E-2</v>
      </c>
      <c r="G82" s="15">
        <v>43210</v>
      </c>
    </row>
    <row r="83" spans="4:7" x14ac:dyDescent="0.35">
      <c r="D83" s="16">
        <v>0.22222222222222221</v>
      </c>
      <c r="E83" s="6">
        <v>1.8916666666666668E-2</v>
      </c>
      <c r="F83" s="8">
        <f t="shared" si="1"/>
        <v>2.1945012902123338E-2</v>
      </c>
      <c r="G83" s="15">
        <v>43213</v>
      </c>
    </row>
    <row r="84" spans="4:7" x14ac:dyDescent="0.35">
      <c r="D84" s="16">
        <v>0.22500000000000001</v>
      </c>
      <c r="E84" s="6">
        <v>1.8955E-2</v>
      </c>
      <c r="F84" s="8">
        <f t="shared" si="1"/>
        <v>2.2021679888899425E-2</v>
      </c>
      <c r="G84" s="15">
        <v>43214</v>
      </c>
    </row>
    <row r="85" spans="4:7" x14ac:dyDescent="0.35">
      <c r="D85" s="16">
        <v>0.22777777777777777</v>
      </c>
      <c r="E85" s="6">
        <v>1.8993333333333334E-2</v>
      </c>
      <c r="F85" s="8">
        <f t="shared" si="1"/>
        <v>2.2098346886203012E-2</v>
      </c>
      <c r="G85" s="15">
        <v>43215</v>
      </c>
    </row>
    <row r="86" spans="4:7" x14ac:dyDescent="0.35">
      <c r="D86" s="16">
        <v>0.23055555555555557</v>
      </c>
      <c r="E86" s="6">
        <v>1.9031666666666669E-2</v>
      </c>
      <c r="F86" s="8">
        <f t="shared" si="1"/>
        <v>2.2175013894118179E-2</v>
      </c>
      <c r="G86" s="15">
        <v>43216</v>
      </c>
    </row>
    <row r="87" spans="4:7" x14ac:dyDescent="0.35">
      <c r="D87" s="16">
        <v>0.23333333333333334</v>
      </c>
      <c r="E87" s="6">
        <v>1.907E-2</v>
      </c>
      <c r="F87" s="8">
        <f t="shared" si="1"/>
        <v>2.2251680892959272E-2</v>
      </c>
      <c r="G87" s="15">
        <v>43217</v>
      </c>
    </row>
    <row r="88" spans="4:7" x14ac:dyDescent="0.35">
      <c r="D88" s="16">
        <v>0.2361111111111111</v>
      </c>
      <c r="E88" s="6">
        <v>1.9108333333333331E-2</v>
      </c>
      <c r="F88" s="8">
        <f t="shared" si="1"/>
        <v>2.2328347902359654E-2</v>
      </c>
      <c r="G88" s="15">
        <v>43220</v>
      </c>
    </row>
    <row r="89" spans="4:7" x14ac:dyDescent="0.35">
      <c r="D89" s="16">
        <v>0.2388888888888889</v>
      </c>
      <c r="E89" s="6">
        <v>1.9146666666666666E-2</v>
      </c>
      <c r="F89" s="8">
        <f t="shared" si="1"/>
        <v>2.2405014922826597E-2</v>
      </c>
      <c r="G89" s="15">
        <v>43221</v>
      </c>
    </row>
    <row r="90" spans="4:7" x14ac:dyDescent="0.35">
      <c r="D90" s="16">
        <v>0.24166666666666667</v>
      </c>
      <c r="E90" s="6">
        <v>1.9185000000000001E-2</v>
      </c>
      <c r="F90" s="8">
        <f t="shared" si="1"/>
        <v>2.2481681933679276E-2</v>
      </c>
      <c r="G90" s="15">
        <v>43222</v>
      </c>
    </row>
    <row r="91" spans="4:7" x14ac:dyDescent="0.35">
      <c r="D91" s="16">
        <v>0.24444444444444444</v>
      </c>
      <c r="E91" s="6">
        <v>1.9223333333333332E-2</v>
      </c>
      <c r="F91" s="8">
        <f t="shared" si="1"/>
        <v>2.2558348955376853E-2</v>
      </c>
      <c r="G91" s="15">
        <v>43223</v>
      </c>
    </row>
    <row r="92" spans="4:7" x14ac:dyDescent="0.35">
      <c r="D92" s="16">
        <v>0.24722222222222223</v>
      </c>
      <c r="E92" s="6">
        <v>1.9261666666666663E-2</v>
      </c>
      <c r="F92" s="8">
        <f t="shared" si="1"/>
        <v>2.2635015988300648E-2</v>
      </c>
      <c r="G92" s="15">
        <v>43224</v>
      </c>
    </row>
    <row r="93" spans="4:7" x14ac:dyDescent="0.35">
      <c r="D93" s="16">
        <v>0.25</v>
      </c>
      <c r="E93" s="6">
        <v>1.9299999999999998E-2</v>
      </c>
      <c r="F93" s="8">
        <f t="shared" si="1"/>
        <v>2.2711683011170412E-2</v>
      </c>
      <c r="G93" s="15">
        <v>43227</v>
      </c>
    </row>
    <row r="94" spans="4:7" x14ac:dyDescent="0.35">
      <c r="D94" s="16">
        <v>0.25277777777777777</v>
      </c>
      <c r="E94" s="6">
        <v>1.9317777777777774E-2</v>
      </c>
      <c r="F94" s="8">
        <f t="shared" si="1"/>
        <v>2.0917781375531967E-2</v>
      </c>
      <c r="G94" s="15">
        <v>43228</v>
      </c>
    </row>
    <row r="95" spans="4:7" x14ac:dyDescent="0.35">
      <c r="D95" s="16">
        <v>0.25555555555555554</v>
      </c>
      <c r="E95" s="6">
        <v>1.933555555555555E-2</v>
      </c>
      <c r="F95" s="8">
        <f t="shared" si="1"/>
        <v>2.0953337003780242E-2</v>
      </c>
      <c r="G95" s="15">
        <v>43229</v>
      </c>
    </row>
    <row r="96" spans="4:7" x14ac:dyDescent="0.35">
      <c r="D96" s="16">
        <v>0.25833333333333336</v>
      </c>
      <c r="E96" s="6">
        <v>1.9353333333333327E-2</v>
      </c>
      <c r="F96" s="8">
        <f t="shared" si="1"/>
        <v>2.0988892647386268E-2</v>
      </c>
      <c r="G96" s="15">
        <v>43230</v>
      </c>
    </row>
    <row r="97" spans="4:7" x14ac:dyDescent="0.35">
      <c r="D97" s="16">
        <v>0.26111111111111113</v>
      </c>
      <c r="E97" s="6">
        <v>1.9371111111111103E-2</v>
      </c>
      <c r="F97" s="8">
        <f t="shared" si="1"/>
        <v>2.1024448277098429E-2</v>
      </c>
      <c r="G97" s="15">
        <v>43231</v>
      </c>
    </row>
    <row r="98" spans="4:7" x14ac:dyDescent="0.35">
      <c r="D98" s="16">
        <v>0.2638888888888889</v>
      </c>
      <c r="E98" s="6">
        <v>1.9388888888888879E-2</v>
      </c>
      <c r="F98" s="8">
        <f t="shared" si="1"/>
        <v>2.1060003922708289E-2</v>
      </c>
      <c r="G98" s="15">
        <v>43234</v>
      </c>
    </row>
    <row r="99" spans="4:7" x14ac:dyDescent="0.35">
      <c r="D99" s="16">
        <v>0.26666666666666666</v>
      </c>
      <c r="E99" s="6">
        <v>1.9406666666666655E-2</v>
      </c>
      <c r="F99" s="8">
        <f t="shared" si="1"/>
        <v>2.1095559561729399E-2</v>
      </c>
      <c r="G99" s="15">
        <v>43235</v>
      </c>
    </row>
    <row r="100" spans="4:7" x14ac:dyDescent="0.35">
      <c r="D100" s="16">
        <v>0.26944444444444443</v>
      </c>
      <c r="E100" s="6">
        <v>1.9424444444444432E-2</v>
      </c>
      <c r="F100" s="8">
        <f t="shared" si="1"/>
        <v>2.113111519386968E-2</v>
      </c>
      <c r="G100" s="15">
        <v>43236</v>
      </c>
    </row>
    <row r="101" spans="4:7" x14ac:dyDescent="0.35">
      <c r="D101" s="16">
        <v>0.2722222222222222</v>
      </c>
      <c r="E101" s="6">
        <v>1.9442222222222208E-2</v>
      </c>
      <c r="F101" s="8">
        <f t="shared" si="1"/>
        <v>2.1166670842292137E-2</v>
      </c>
    </row>
    <row r="102" spans="4:7" x14ac:dyDescent="0.35">
      <c r="D102" s="16">
        <v>0.27500000000000002</v>
      </c>
      <c r="E102" s="6">
        <v>1.9459999999999984E-2</v>
      </c>
      <c r="F102" s="8">
        <f t="shared" si="1"/>
        <v>2.1202226476084367E-2</v>
      </c>
    </row>
    <row r="103" spans="4:7" x14ac:dyDescent="0.35">
      <c r="D103" s="16">
        <v>0.27777777777777779</v>
      </c>
      <c r="E103" s="6">
        <v>1.9477777777777761E-2</v>
      </c>
      <c r="F103" s="8">
        <f t="shared" si="1"/>
        <v>2.1237782126420149E-2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03"/>
  <sheetViews>
    <sheetView showGridLines="0" topLeftCell="A86" zoomScale="130" zoomScaleNormal="130" workbookViewId="0">
      <selection activeCell="A2" sqref="A2:A101"/>
    </sheetView>
  </sheetViews>
  <sheetFormatPr defaultRowHeight="14.5" x14ac:dyDescent="0.35"/>
  <cols>
    <col min="1" max="1" width="11.54296875" customWidth="1"/>
  </cols>
  <sheetData>
    <row r="1" spans="1:3" x14ac:dyDescent="0.35">
      <c r="A1" s="3" t="s">
        <v>0</v>
      </c>
      <c r="B1" s="3" t="s">
        <v>10</v>
      </c>
      <c r="C1" t="s">
        <v>31</v>
      </c>
    </row>
    <row r="2" spans="1:3" x14ac:dyDescent="0.35">
      <c r="A2" s="11">
        <v>43097</v>
      </c>
      <c r="B2" s="5">
        <v>0.03</v>
      </c>
    </row>
    <row r="3" spans="1:3" x14ac:dyDescent="0.35">
      <c r="A3" s="11">
        <v>43098</v>
      </c>
      <c r="B3" s="5">
        <v>3.0537637099618962E-2</v>
      </c>
    </row>
    <row r="4" spans="1:3" x14ac:dyDescent="0.35">
      <c r="A4" s="11">
        <v>43101</v>
      </c>
      <c r="B4" s="5">
        <v>3.2331749504277973E-2</v>
      </c>
    </row>
    <row r="5" spans="1:3" x14ac:dyDescent="0.35">
      <c r="A5" s="11">
        <v>43102</v>
      </c>
      <c r="B5" s="5">
        <v>3.6275673181166958E-2</v>
      </c>
    </row>
    <row r="6" spans="1:3" x14ac:dyDescent="0.35">
      <c r="A6" s="11">
        <v>43103</v>
      </c>
      <c r="B6" s="5">
        <v>3.8020719625576668E-2</v>
      </c>
    </row>
    <row r="7" spans="1:3" x14ac:dyDescent="0.35">
      <c r="A7" s="11">
        <v>43104</v>
      </c>
      <c r="B7" s="5">
        <v>3.7220187032244403E-2</v>
      </c>
    </row>
    <row r="8" spans="1:3" x14ac:dyDescent="0.35">
      <c r="A8" s="11">
        <v>43105</v>
      </c>
      <c r="B8" s="5">
        <v>3.8370289533570336E-2</v>
      </c>
    </row>
    <row r="9" spans="1:3" x14ac:dyDescent="0.35">
      <c r="A9" s="11">
        <v>43108</v>
      </c>
      <c r="B9" s="5">
        <v>3.8298433104870189E-2</v>
      </c>
    </row>
    <row r="10" spans="1:3" x14ac:dyDescent="0.35">
      <c r="A10" s="11">
        <v>43109</v>
      </c>
      <c r="B10" s="5">
        <v>3.5880671193827186E-2</v>
      </c>
    </row>
    <row r="11" spans="1:3" x14ac:dyDescent="0.35">
      <c r="A11" s="11">
        <v>43110</v>
      </c>
      <c r="B11" s="5">
        <v>3.8517982136273519E-2</v>
      </c>
    </row>
    <row r="12" spans="1:3" x14ac:dyDescent="0.35">
      <c r="A12" s="11">
        <v>43111</v>
      </c>
      <c r="B12" s="5">
        <v>3.6213334011438933E-2</v>
      </c>
    </row>
    <row r="13" spans="1:3" x14ac:dyDescent="0.35">
      <c r="A13" s="11">
        <v>43112</v>
      </c>
      <c r="B13" s="5">
        <v>3.1849984684939131E-2</v>
      </c>
    </row>
    <row r="14" spans="1:3" x14ac:dyDescent="0.35">
      <c r="A14" s="11">
        <v>43115</v>
      </c>
      <c r="B14" s="5">
        <v>2.7377369315548076E-2</v>
      </c>
    </row>
    <row r="15" spans="1:3" x14ac:dyDescent="0.35">
      <c r="A15" s="11">
        <v>43116</v>
      </c>
      <c r="B15" s="5">
        <v>2.5344605129972365E-2</v>
      </c>
    </row>
    <row r="16" spans="1:3" x14ac:dyDescent="0.35">
      <c r="A16" s="11">
        <v>43117</v>
      </c>
      <c r="B16" s="5">
        <v>2.3924288861860925E-2</v>
      </c>
    </row>
    <row r="17" spans="1:2" x14ac:dyDescent="0.35">
      <c r="A17" s="11">
        <v>43118</v>
      </c>
      <c r="B17" s="5">
        <v>3.1170529566993194E-2</v>
      </c>
    </row>
    <row r="18" spans="1:2" x14ac:dyDescent="0.35">
      <c r="A18" s="11">
        <v>43119</v>
      </c>
      <c r="B18" s="5">
        <v>2.6530349018827743E-2</v>
      </c>
    </row>
    <row r="19" spans="1:2" x14ac:dyDescent="0.35">
      <c r="A19" s="11">
        <v>43122</v>
      </c>
      <c r="B19" s="5">
        <v>2.87710090632428E-2</v>
      </c>
    </row>
    <row r="20" spans="1:2" x14ac:dyDescent="0.35">
      <c r="A20" s="11">
        <v>43123</v>
      </c>
      <c r="B20" s="5">
        <v>2.3114946444242772E-2</v>
      </c>
    </row>
    <row r="21" spans="1:2" x14ac:dyDescent="0.35">
      <c r="A21" s="11">
        <v>43124</v>
      </c>
      <c r="B21" s="5">
        <v>2.4018422614551997E-2</v>
      </c>
    </row>
    <row r="22" spans="1:2" x14ac:dyDescent="0.35">
      <c r="A22" s="11">
        <v>43125</v>
      </c>
      <c r="B22" s="5">
        <v>2.1411343302319346E-2</v>
      </c>
    </row>
    <row r="23" spans="1:2" x14ac:dyDescent="0.35">
      <c r="A23" s="11">
        <v>43126</v>
      </c>
      <c r="B23" s="5">
        <v>2.4898828469964589E-2</v>
      </c>
    </row>
    <row r="24" spans="1:2" x14ac:dyDescent="0.35">
      <c r="A24" s="11">
        <v>43129</v>
      </c>
      <c r="B24" s="5">
        <v>2.2079923162869299E-2</v>
      </c>
    </row>
    <row r="25" spans="1:2" x14ac:dyDescent="0.35">
      <c r="A25" s="11">
        <v>43130</v>
      </c>
      <c r="B25" s="5">
        <v>3.0190548984612632E-2</v>
      </c>
    </row>
    <row r="26" spans="1:2" x14ac:dyDescent="0.35">
      <c r="A26" s="11">
        <v>43131</v>
      </c>
      <c r="B26" s="5">
        <v>3.5860404844437657E-2</v>
      </c>
    </row>
    <row r="27" spans="1:2" x14ac:dyDescent="0.35">
      <c r="A27" s="11">
        <v>43132</v>
      </c>
      <c r="B27" s="5">
        <v>3.4138842340056291E-2</v>
      </c>
    </row>
    <row r="28" spans="1:2" x14ac:dyDescent="0.35">
      <c r="A28" s="11">
        <v>43133</v>
      </c>
      <c r="B28" s="5">
        <v>3.2162335053454685E-2</v>
      </c>
    </row>
    <row r="29" spans="1:2" x14ac:dyDescent="0.35">
      <c r="A29" s="11">
        <v>43136</v>
      </c>
      <c r="B29" s="5">
        <v>3.4585545116228231E-2</v>
      </c>
    </row>
    <row r="30" spans="1:2" x14ac:dyDescent="0.35">
      <c r="A30" s="11">
        <v>43137</v>
      </c>
      <c r="B30" s="5">
        <v>3.8058501336847787E-2</v>
      </c>
    </row>
    <row r="31" spans="1:2" x14ac:dyDescent="0.35">
      <c r="A31" s="11">
        <v>43138</v>
      </c>
      <c r="B31" s="5">
        <v>3.6295709009469775E-2</v>
      </c>
    </row>
    <row r="32" spans="1:2" x14ac:dyDescent="0.35">
      <c r="A32" s="11">
        <v>43139</v>
      </c>
      <c r="B32" s="5">
        <v>3.4012107598438493E-2</v>
      </c>
    </row>
    <row r="33" spans="1:2" x14ac:dyDescent="0.35">
      <c r="A33" s="11">
        <v>43140</v>
      </c>
      <c r="B33" s="5">
        <v>3.3136738928427584E-2</v>
      </c>
    </row>
    <row r="34" spans="1:2" x14ac:dyDescent="0.35">
      <c r="A34" s="11">
        <v>43143</v>
      </c>
      <c r="B34" s="5">
        <v>3.6423137911927736E-2</v>
      </c>
    </row>
    <row r="35" spans="1:2" x14ac:dyDescent="0.35">
      <c r="A35" s="11">
        <v>43144</v>
      </c>
      <c r="B35" s="5">
        <v>3.5788442326030144E-2</v>
      </c>
    </row>
    <row r="36" spans="1:2" x14ac:dyDescent="0.35">
      <c r="A36" s="11">
        <v>43145</v>
      </c>
      <c r="B36" s="5">
        <v>4.0199626251670159E-2</v>
      </c>
    </row>
    <row r="37" spans="1:2" x14ac:dyDescent="0.35">
      <c r="A37" s="11">
        <v>43146</v>
      </c>
      <c r="B37" s="5">
        <v>4.3876485358686199E-2</v>
      </c>
    </row>
    <row r="38" spans="1:2" x14ac:dyDescent="0.35">
      <c r="A38" s="11">
        <v>43147</v>
      </c>
      <c r="B38" s="5">
        <v>4.9557993496029983E-2</v>
      </c>
    </row>
    <row r="39" spans="1:2" x14ac:dyDescent="0.35">
      <c r="A39" s="11">
        <v>43150</v>
      </c>
      <c r="B39" s="5">
        <v>5.1563936261770346E-2</v>
      </c>
    </row>
    <row r="40" spans="1:2" x14ac:dyDescent="0.35">
      <c r="A40" s="11">
        <v>43151</v>
      </c>
      <c r="B40" s="5">
        <v>4.8776219312489218E-2</v>
      </c>
    </row>
    <row r="41" spans="1:2" x14ac:dyDescent="0.35">
      <c r="A41" s="11">
        <v>43152</v>
      </c>
      <c r="B41" s="5">
        <v>5.4841026337144112E-2</v>
      </c>
    </row>
    <row r="42" spans="1:2" x14ac:dyDescent="0.35">
      <c r="A42" s="11">
        <v>43153</v>
      </c>
      <c r="B42" s="5">
        <v>4.5175827349985931E-2</v>
      </c>
    </row>
    <row r="43" spans="1:2" x14ac:dyDescent="0.35">
      <c r="A43" s="11">
        <v>43154</v>
      </c>
      <c r="B43" s="5">
        <v>4.1569247948866607E-2</v>
      </c>
    </row>
    <row r="44" spans="1:2" x14ac:dyDescent="0.35">
      <c r="A44" s="11">
        <v>43157</v>
      </c>
      <c r="B44" s="5">
        <v>4.2519925025854818E-2</v>
      </c>
    </row>
    <row r="45" spans="1:2" x14ac:dyDescent="0.35">
      <c r="A45" s="11">
        <v>43158</v>
      </c>
      <c r="B45" s="5">
        <v>4.5683683077466009E-2</v>
      </c>
    </row>
    <row r="46" spans="1:2" x14ac:dyDescent="0.35">
      <c r="A46" s="11">
        <v>43159</v>
      </c>
      <c r="B46" s="5">
        <v>4.8787602836681057E-2</v>
      </c>
    </row>
    <row r="47" spans="1:2" x14ac:dyDescent="0.35">
      <c r="A47" s="11">
        <v>43160</v>
      </c>
      <c r="B47" s="5">
        <v>4.6799199984180799E-2</v>
      </c>
    </row>
    <row r="48" spans="1:2" x14ac:dyDescent="0.35">
      <c r="A48" s="11">
        <v>43161</v>
      </c>
      <c r="B48" s="5">
        <v>4.7838408842965058E-2</v>
      </c>
    </row>
    <row r="49" spans="1:2" x14ac:dyDescent="0.35">
      <c r="A49" s="11">
        <v>43164</v>
      </c>
      <c r="B49" s="5">
        <v>5.0746181002365533E-2</v>
      </c>
    </row>
    <row r="50" spans="1:2" x14ac:dyDescent="0.35">
      <c r="A50" s="11">
        <v>43165</v>
      </c>
      <c r="B50" s="5">
        <v>5.8879509754430834E-2</v>
      </c>
    </row>
    <row r="51" spans="1:2" x14ac:dyDescent="0.35">
      <c r="A51" s="11">
        <v>43166</v>
      </c>
      <c r="B51" s="5">
        <v>6.1804628615889541E-2</v>
      </c>
    </row>
    <row r="52" spans="1:2" x14ac:dyDescent="0.35">
      <c r="A52" s="11">
        <v>43167</v>
      </c>
      <c r="B52" s="5">
        <v>6.402352753832273E-2</v>
      </c>
    </row>
    <row r="53" spans="1:2" x14ac:dyDescent="0.35">
      <c r="A53" s="11">
        <v>43168</v>
      </c>
      <c r="B53" s="5">
        <v>5.7116372193850129E-2</v>
      </c>
    </row>
    <row r="54" spans="1:2" x14ac:dyDescent="0.35">
      <c r="A54" s="11">
        <v>43171</v>
      </c>
      <c r="B54" s="5">
        <v>5.1958545785193461E-2</v>
      </c>
    </row>
    <row r="55" spans="1:2" x14ac:dyDescent="0.35">
      <c r="A55" s="11">
        <v>43172</v>
      </c>
      <c r="B55" s="5">
        <v>4.6964755091652571E-2</v>
      </c>
    </row>
    <row r="56" spans="1:2" x14ac:dyDescent="0.35">
      <c r="A56" s="11">
        <v>43173</v>
      </c>
      <c r="B56" s="5">
        <v>5.0343479742759593E-2</v>
      </c>
    </row>
    <row r="57" spans="1:2" x14ac:dyDescent="0.35">
      <c r="A57" s="11">
        <v>43174</v>
      </c>
      <c r="B57" s="5">
        <v>4.8496669322549757E-2</v>
      </c>
    </row>
    <row r="58" spans="1:2" x14ac:dyDescent="0.35">
      <c r="A58" s="11">
        <v>43175</v>
      </c>
      <c r="B58" s="5">
        <v>5.14960179932182E-2</v>
      </c>
    </row>
    <row r="59" spans="1:2" x14ac:dyDescent="0.35">
      <c r="A59" s="11">
        <v>43178</v>
      </c>
      <c r="B59" s="5">
        <v>5.2129695423964562E-2</v>
      </c>
    </row>
    <row r="60" spans="1:2" x14ac:dyDescent="0.35">
      <c r="A60" s="11">
        <v>43179</v>
      </c>
      <c r="B60" s="5">
        <v>5.3999060551109687E-2</v>
      </c>
    </row>
    <row r="61" spans="1:2" x14ac:dyDescent="0.35">
      <c r="A61" s="11">
        <v>43180</v>
      </c>
      <c r="B61" s="5">
        <v>5.6934017296368544E-2</v>
      </c>
    </row>
    <row r="62" spans="1:2" x14ac:dyDescent="0.35">
      <c r="A62" s="11">
        <v>43181</v>
      </c>
      <c r="B62" s="5">
        <v>5.9087249273332268E-2</v>
      </c>
    </row>
    <row r="63" spans="1:2" x14ac:dyDescent="0.35">
      <c r="A63" s="11">
        <v>43182</v>
      </c>
      <c r="B63" s="5">
        <v>5.8158641677917199E-2</v>
      </c>
    </row>
    <row r="64" spans="1:2" x14ac:dyDescent="0.35">
      <c r="A64" s="11">
        <v>43185</v>
      </c>
      <c r="B64" s="5">
        <v>5.8179970993306546E-2</v>
      </c>
    </row>
    <row r="65" spans="1:2" x14ac:dyDescent="0.35">
      <c r="A65" s="11">
        <v>43186</v>
      </c>
      <c r="B65" s="5">
        <v>5.767063229454239E-2</v>
      </c>
    </row>
    <row r="66" spans="1:2" x14ac:dyDescent="0.35">
      <c r="A66" s="11">
        <v>43187</v>
      </c>
      <c r="B66" s="5">
        <v>6.102229634559192E-2</v>
      </c>
    </row>
    <row r="67" spans="1:2" x14ac:dyDescent="0.35">
      <c r="A67" s="11">
        <v>43188</v>
      </c>
      <c r="B67" s="5">
        <v>5.6796183860577172E-2</v>
      </c>
    </row>
    <row r="68" spans="1:2" x14ac:dyDescent="0.35">
      <c r="A68" s="11">
        <v>43189</v>
      </c>
      <c r="B68" s="5">
        <v>6.4028737558889562E-2</v>
      </c>
    </row>
    <row r="69" spans="1:2" x14ac:dyDescent="0.35">
      <c r="A69" s="11">
        <v>43192</v>
      </c>
      <c r="B69" s="5">
        <v>7.1135083760950471E-2</v>
      </c>
    </row>
    <row r="70" spans="1:2" x14ac:dyDescent="0.35">
      <c r="A70" s="11">
        <v>43193</v>
      </c>
      <c r="B70" s="5">
        <v>7.4402069777093099E-2</v>
      </c>
    </row>
    <row r="71" spans="1:2" x14ac:dyDescent="0.35">
      <c r="A71" s="11">
        <v>43194</v>
      </c>
      <c r="B71" s="5">
        <v>7.5601283971341679E-2</v>
      </c>
    </row>
    <row r="72" spans="1:2" x14ac:dyDescent="0.35">
      <c r="A72" s="11">
        <v>43195</v>
      </c>
      <c r="B72" s="5">
        <v>7.5842100163783732E-2</v>
      </c>
    </row>
    <row r="73" spans="1:2" x14ac:dyDescent="0.35">
      <c r="A73" s="11">
        <v>43196</v>
      </c>
      <c r="B73" s="5">
        <v>7.7508794482423551E-2</v>
      </c>
    </row>
    <row r="74" spans="1:2" x14ac:dyDescent="0.35">
      <c r="A74" s="11">
        <v>43199</v>
      </c>
      <c r="B74" s="5">
        <v>7.7738405801779986E-2</v>
      </c>
    </row>
    <row r="75" spans="1:2" x14ac:dyDescent="0.35">
      <c r="A75" s="11">
        <v>43200</v>
      </c>
      <c r="B75" s="5">
        <v>8.0636358595094881E-2</v>
      </c>
    </row>
    <row r="76" spans="1:2" x14ac:dyDescent="0.35">
      <c r="A76" s="11">
        <v>43201</v>
      </c>
      <c r="B76" s="5">
        <v>7.9138430075705743E-2</v>
      </c>
    </row>
    <row r="77" spans="1:2" x14ac:dyDescent="0.35">
      <c r="A77" s="11">
        <v>43202</v>
      </c>
      <c r="B77" s="5">
        <v>8.4396185153652728E-2</v>
      </c>
    </row>
    <row r="78" spans="1:2" x14ac:dyDescent="0.35">
      <c r="A78" s="11">
        <v>43203</v>
      </c>
      <c r="B78" s="5">
        <v>8.1626743859955164E-2</v>
      </c>
    </row>
    <row r="79" spans="1:2" x14ac:dyDescent="0.35">
      <c r="A79" s="11">
        <v>43206</v>
      </c>
      <c r="B79" s="5">
        <v>8.9812680652566854E-2</v>
      </c>
    </row>
    <row r="80" spans="1:2" x14ac:dyDescent="0.35">
      <c r="A80" s="11">
        <v>43207</v>
      </c>
      <c r="B80" s="5">
        <v>8.7403207230388427E-2</v>
      </c>
    </row>
    <row r="81" spans="1:2" x14ac:dyDescent="0.35">
      <c r="A81" s="11">
        <v>43208</v>
      </c>
      <c r="B81" s="5">
        <v>9.013575134977217E-2</v>
      </c>
    </row>
    <row r="82" spans="1:2" x14ac:dyDescent="0.35">
      <c r="A82" s="11">
        <v>43209</v>
      </c>
      <c r="B82" s="5">
        <v>9.2072215888942988E-2</v>
      </c>
    </row>
    <row r="83" spans="1:2" x14ac:dyDescent="0.35">
      <c r="A83" s="11">
        <v>43210</v>
      </c>
      <c r="B83" s="5">
        <v>9.4777447899144066E-2</v>
      </c>
    </row>
    <row r="84" spans="1:2" x14ac:dyDescent="0.35">
      <c r="A84" s="11">
        <v>43213</v>
      </c>
      <c r="B84" s="5">
        <v>9.5811906294557755E-2</v>
      </c>
    </row>
    <row r="85" spans="1:2" x14ac:dyDescent="0.35">
      <c r="A85" s="11">
        <v>43214</v>
      </c>
      <c r="B85" s="5">
        <v>9.456891643845157E-2</v>
      </c>
    </row>
    <row r="86" spans="1:2" x14ac:dyDescent="0.35">
      <c r="A86" s="11">
        <v>43215</v>
      </c>
      <c r="B86" s="5">
        <v>9.6498019296349949E-2</v>
      </c>
    </row>
    <row r="87" spans="1:2" x14ac:dyDescent="0.35">
      <c r="A87" s="11">
        <v>43216</v>
      </c>
      <c r="B87" s="5">
        <v>9.2702156985816353E-2</v>
      </c>
    </row>
    <row r="88" spans="1:2" x14ac:dyDescent="0.35">
      <c r="A88" s="11">
        <v>43217</v>
      </c>
      <c r="B88" s="5">
        <v>9.2561416539125779E-2</v>
      </c>
    </row>
    <row r="89" spans="1:2" x14ac:dyDescent="0.35">
      <c r="A89" s="11">
        <v>43220</v>
      </c>
      <c r="B89" s="5">
        <v>9.0799855759077452E-2</v>
      </c>
    </row>
    <row r="90" spans="1:2" x14ac:dyDescent="0.35">
      <c r="A90" s="11">
        <v>43221</v>
      </c>
      <c r="B90" s="5">
        <v>9.5657593596655349E-2</v>
      </c>
    </row>
    <row r="91" spans="1:2" x14ac:dyDescent="0.35">
      <c r="A91" s="11">
        <v>43222</v>
      </c>
      <c r="B91" s="5">
        <v>8.862046557256148E-2</v>
      </c>
    </row>
    <row r="92" spans="1:2" x14ac:dyDescent="0.35">
      <c r="A92" s="11">
        <v>43223</v>
      </c>
      <c r="B92" s="5">
        <v>9.6026149170221051E-2</v>
      </c>
    </row>
    <row r="93" spans="1:2" x14ac:dyDescent="0.35">
      <c r="A93" s="11">
        <v>43224</v>
      </c>
      <c r="B93" s="5">
        <v>9.8418286648167971E-2</v>
      </c>
    </row>
    <row r="94" spans="1:2" x14ac:dyDescent="0.35">
      <c r="A94" s="11">
        <v>43227</v>
      </c>
      <c r="B94" s="5">
        <v>9.7144079961275193E-2</v>
      </c>
    </row>
    <row r="95" spans="1:2" x14ac:dyDescent="0.35">
      <c r="A95" s="11">
        <v>43228</v>
      </c>
      <c r="B95" s="5">
        <v>9.2012502589561798E-2</v>
      </c>
    </row>
    <row r="96" spans="1:2" x14ac:dyDescent="0.35">
      <c r="A96" s="11">
        <v>43229</v>
      </c>
      <c r="B96" s="5">
        <v>9.064261348418573E-2</v>
      </c>
    </row>
    <row r="97" spans="1:2" x14ac:dyDescent="0.35">
      <c r="A97" s="11">
        <v>43230</v>
      </c>
      <c r="B97" s="5">
        <v>8.8330357121312458E-2</v>
      </c>
    </row>
    <row r="98" spans="1:2" x14ac:dyDescent="0.35">
      <c r="A98" s="11">
        <v>43231</v>
      </c>
      <c r="B98" s="5">
        <v>8.9727110850811989E-2</v>
      </c>
    </row>
    <row r="99" spans="1:2" x14ac:dyDescent="0.35">
      <c r="A99" s="11">
        <v>43234</v>
      </c>
      <c r="B99" s="5">
        <v>9.101436150904646E-2</v>
      </c>
    </row>
    <row r="100" spans="1:2" x14ac:dyDescent="0.35">
      <c r="A100" s="11">
        <v>43235</v>
      </c>
      <c r="B100" s="5">
        <v>9.1105263262941397E-2</v>
      </c>
    </row>
    <row r="101" spans="1:2" x14ac:dyDescent="0.35">
      <c r="A101" s="11">
        <v>43236</v>
      </c>
      <c r="B101" s="5">
        <v>8.9020653570884775E-2</v>
      </c>
    </row>
    <row r="102" spans="1:2" x14ac:dyDescent="0.35">
      <c r="A102" s="1"/>
      <c r="B102" s="2"/>
    </row>
    <row r="103" spans="1:2" x14ac:dyDescent="0.35">
      <c r="A103" s="1"/>
      <c r="B103" s="2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14</vt:i4>
      </vt:variant>
    </vt:vector>
  </HeadingPairs>
  <TitlesOfParts>
    <vt:vector size="20" baseType="lpstr">
      <vt:lpstr>Input</vt:lpstr>
      <vt:lpstr>Report</vt:lpstr>
      <vt:lpstr>Output</vt:lpstr>
      <vt:lpstr>Market Data</vt:lpstr>
      <vt:lpstr>Yield Curve</vt:lpstr>
      <vt:lpstr>RiskFreeRate</vt:lpstr>
      <vt:lpstr>Close_Price</vt:lpstr>
      <vt:lpstr>Coupon</vt:lpstr>
      <vt:lpstr>Coupon_Margin</vt:lpstr>
      <vt:lpstr>Discount_Rate</vt:lpstr>
      <vt:lpstr>Forward_Rate</vt:lpstr>
      <vt:lpstr>FRN_Date</vt:lpstr>
      <vt:lpstr>Instrument_Type</vt:lpstr>
      <vt:lpstr>Notional</vt:lpstr>
      <vt:lpstr>Position_ID</vt:lpstr>
      <vt:lpstr>Quantity</vt:lpstr>
      <vt:lpstr>Riskfree_Date</vt:lpstr>
      <vt:lpstr>Stock_Date</vt:lpstr>
      <vt:lpstr>Ticker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cp:lastPrinted>2018-05-17T08:09:16Z</cp:lastPrinted>
  <dcterms:created xsi:type="dcterms:W3CDTF">2006-09-16T00:00:00Z</dcterms:created>
  <dcterms:modified xsi:type="dcterms:W3CDTF">2018-05-17T15:55:42Z</dcterms:modified>
</cp:coreProperties>
</file>